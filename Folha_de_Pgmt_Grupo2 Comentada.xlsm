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sué Silva\Desktop\"/>
    </mc:Choice>
  </mc:AlternateContent>
  <xr:revisionPtr revIDLastSave="0" documentId="13_ncr:1_{961EA79F-3F96-463F-9A33-2D1A940D27F3}" xr6:coauthVersionLast="45" xr6:coauthVersionMax="45" xr10:uidLastSave="{00000000-0000-0000-0000-000000000000}"/>
  <bookViews>
    <workbookView minimized="1" xWindow="9660" yWindow="4920" windowWidth="7500" windowHeight="6000" activeTab="2" xr2:uid="{00000000-000D-0000-FFFF-FFFF00000000}"/>
  </bookViews>
  <sheets>
    <sheet name="Instruções" sheetId="10" r:id="rId1"/>
    <sheet name="Alíquotas" sheetId="3" r:id="rId2"/>
    <sheet name="Controle" sheetId="8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7" i="8" l="1"/>
  <c r="J167" i="8" s="1"/>
  <c r="I168" i="8"/>
  <c r="J168" i="8" s="1"/>
  <c r="I169" i="8"/>
  <c r="J169" i="8" s="1"/>
  <c r="I170" i="8"/>
  <c r="J170" i="8" s="1"/>
  <c r="I171" i="8"/>
  <c r="J171" i="8" s="1"/>
  <c r="I172" i="8"/>
  <c r="J172" i="8" s="1"/>
  <c r="I173" i="8"/>
  <c r="J173" i="8" s="1"/>
  <c r="I174" i="8"/>
  <c r="J174" i="8" s="1"/>
  <c r="I175" i="8"/>
  <c r="J175" i="8" s="1"/>
  <c r="I176" i="8"/>
  <c r="J176" i="8" s="1"/>
  <c r="I177" i="8"/>
  <c r="J177" i="8" s="1"/>
  <c r="I178" i="8"/>
  <c r="J178" i="8" s="1"/>
  <c r="I179" i="8"/>
  <c r="J179" i="8" s="1"/>
  <c r="I180" i="8"/>
  <c r="J180" i="8" s="1"/>
  <c r="I181" i="8"/>
  <c r="J181" i="8" s="1"/>
  <c r="I182" i="8"/>
  <c r="J182" i="8" s="1"/>
  <c r="I183" i="8"/>
  <c r="J183" i="8" s="1"/>
  <c r="I184" i="8"/>
  <c r="J184" i="8" s="1"/>
  <c r="I185" i="8"/>
  <c r="J185" i="8" s="1"/>
  <c r="I186" i="8"/>
  <c r="J186" i="8" s="1"/>
  <c r="I187" i="8"/>
  <c r="J187" i="8" s="1"/>
  <c r="I188" i="8"/>
  <c r="J188" i="8" s="1"/>
  <c r="I189" i="8"/>
  <c r="J189" i="8" s="1"/>
  <c r="I190" i="8"/>
  <c r="J190" i="8" s="1"/>
  <c r="I191" i="8"/>
  <c r="J191" i="8" s="1"/>
  <c r="I192" i="8"/>
  <c r="J192" i="8" s="1"/>
  <c r="I193" i="8"/>
  <c r="J193" i="8" s="1"/>
  <c r="I194" i="8"/>
  <c r="J194" i="8" s="1"/>
  <c r="I195" i="8"/>
  <c r="J195" i="8" s="1"/>
  <c r="I196" i="8"/>
  <c r="J196" i="8" s="1"/>
  <c r="I197" i="8"/>
  <c r="J197" i="8" s="1"/>
  <c r="I198" i="8"/>
  <c r="J198" i="8" s="1"/>
  <c r="I199" i="8"/>
  <c r="J199" i="8" s="1"/>
  <c r="I200" i="8"/>
  <c r="J200" i="8" s="1"/>
  <c r="I201" i="8"/>
  <c r="J201" i="8" s="1"/>
  <c r="I202" i="8"/>
  <c r="J202" i="8" s="1"/>
  <c r="I203" i="8"/>
  <c r="J203" i="8" s="1"/>
  <c r="I204" i="8"/>
  <c r="J204" i="8" s="1"/>
  <c r="I205" i="8"/>
  <c r="J205" i="8" s="1"/>
  <c r="I206" i="8"/>
  <c r="J206" i="8" s="1"/>
  <c r="I207" i="8"/>
  <c r="J207" i="8" s="1"/>
  <c r="I208" i="8"/>
  <c r="J208" i="8" s="1"/>
  <c r="I209" i="8"/>
  <c r="J209" i="8" s="1"/>
  <c r="I210" i="8"/>
  <c r="J210" i="8" s="1"/>
  <c r="I211" i="8"/>
  <c r="J211" i="8" s="1"/>
  <c r="I212" i="8"/>
  <c r="J212" i="8" s="1"/>
  <c r="I213" i="8"/>
  <c r="J213" i="8" s="1"/>
  <c r="I214" i="8"/>
  <c r="J214" i="8" s="1"/>
  <c r="I215" i="8"/>
  <c r="J215" i="8" s="1"/>
  <c r="I216" i="8"/>
  <c r="J216" i="8" s="1"/>
  <c r="I217" i="8"/>
  <c r="J217" i="8" s="1"/>
  <c r="I218" i="8"/>
  <c r="J218" i="8" s="1"/>
  <c r="I219" i="8"/>
  <c r="J219" i="8" s="1"/>
  <c r="I220" i="8"/>
  <c r="J220" i="8" s="1"/>
  <c r="I221" i="8"/>
  <c r="J221" i="8" s="1"/>
  <c r="I222" i="8"/>
  <c r="J222" i="8" s="1"/>
  <c r="I223" i="8"/>
  <c r="J223" i="8" s="1"/>
  <c r="I224" i="8"/>
  <c r="J224" i="8" s="1"/>
  <c r="I225" i="8"/>
  <c r="J225" i="8" s="1"/>
  <c r="I226" i="8"/>
  <c r="J226" i="8" s="1"/>
  <c r="I227" i="8"/>
  <c r="J227" i="8" s="1"/>
  <c r="I228" i="8"/>
  <c r="J228" i="8" s="1"/>
  <c r="I229" i="8"/>
  <c r="J229" i="8" s="1"/>
  <c r="I230" i="8"/>
  <c r="J230" i="8" s="1"/>
  <c r="I231" i="8"/>
  <c r="J231" i="8" s="1"/>
  <c r="I232" i="8"/>
  <c r="J232" i="8" s="1"/>
  <c r="I233" i="8"/>
  <c r="J233" i="8" s="1"/>
  <c r="I234" i="8"/>
  <c r="J234" i="8" s="1"/>
  <c r="I235" i="8"/>
  <c r="J235" i="8" s="1"/>
  <c r="I236" i="8"/>
  <c r="J236" i="8" s="1"/>
  <c r="I237" i="8"/>
  <c r="J237" i="8" s="1"/>
  <c r="I238" i="8"/>
  <c r="J238" i="8" s="1"/>
  <c r="I239" i="8"/>
  <c r="J239" i="8" s="1"/>
  <c r="I240" i="8"/>
  <c r="J240" i="8" s="1"/>
  <c r="I241" i="8"/>
  <c r="J241" i="8" s="1"/>
  <c r="I242" i="8"/>
  <c r="J242" i="8" s="1"/>
  <c r="I243" i="8"/>
  <c r="J243" i="8" s="1"/>
  <c r="I244" i="8"/>
  <c r="J244" i="8" s="1"/>
  <c r="I245" i="8"/>
  <c r="J245" i="8" s="1"/>
  <c r="I246" i="8"/>
  <c r="J246" i="8" s="1"/>
  <c r="I247" i="8"/>
  <c r="J247" i="8" s="1"/>
  <c r="I248" i="8"/>
  <c r="J248" i="8" s="1"/>
  <c r="I249" i="8"/>
  <c r="J249" i="8" s="1"/>
  <c r="I250" i="8"/>
  <c r="J250" i="8" s="1"/>
  <c r="I251" i="8"/>
  <c r="J251" i="8" s="1"/>
  <c r="I252" i="8"/>
  <c r="J252" i="8" s="1"/>
  <c r="I253" i="8"/>
  <c r="J253" i="8" s="1"/>
  <c r="I254" i="8"/>
  <c r="J254" i="8" s="1"/>
  <c r="I255" i="8"/>
  <c r="J255" i="8" s="1"/>
  <c r="I256" i="8"/>
  <c r="J256" i="8" s="1"/>
  <c r="I257" i="8"/>
  <c r="J257" i="8" s="1"/>
  <c r="I258" i="8"/>
  <c r="J258" i="8" s="1"/>
  <c r="I259" i="8"/>
  <c r="J259" i="8" s="1"/>
  <c r="I260" i="8"/>
  <c r="J260" i="8" s="1"/>
  <c r="I261" i="8"/>
  <c r="J261" i="8" s="1"/>
  <c r="I262" i="8"/>
  <c r="J262" i="8" s="1"/>
  <c r="I263" i="8"/>
  <c r="J263" i="8" s="1"/>
  <c r="I264" i="8"/>
  <c r="J264" i="8" s="1"/>
  <c r="I265" i="8"/>
  <c r="J265" i="8" s="1"/>
  <c r="I266" i="8"/>
  <c r="J266" i="8" s="1"/>
  <c r="I267" i="8"/>
  <c r="J267" i="8" s="1"/>
  <c r="I268" i="8"/>
  <c r="J268" i="8" s="1"/>
  <c r="I269" i="8"/>
  <c r="J269" i="8" s="1"/>
  <c r="I270" i="8"/>
  <c r="J270" i="8" s="1"/>
  <c r="I271" i="8"/>
  <c r="J271" i="8" s="1"/>
  <c r="I272" i="8"/>
  <c r="J272" i="8" s="1"/>
  <c r="I273" i="8"/>
  <c r="J273" i="8" s="1"/>
  <c r="I274" i="8"/>
  <c r="J274" i="8" s="1"/>
  <c r="I275" i="8"/>
  <c r="J275" i="8" s="1"/>
  <c r="I276" i="8"/>
  <c r="J276" i="8" s="1"/>
  <c r="I277" i="8"/>
  <c r="J277" i="8" s="1"/>
  <c r="I278" i="8"/>
  <c r="J278" i="8" s="1"/>
  <c r="I279" i="8"/>
  <c r="J279" i="8" s="1"/>
  <c r="I280" i="8"/>
  <c r="J280" i="8" s="1"/>
  <c r="I281" i="8"/>
  <c r="J281" i="8" s="1"/>
  <c r="I282" i="8"/>
  <c r="J282" i="8" s="1"/>
  <c r="I283" i="8"/>
  <c r="J283" i="8" s="1"/>
  <c r="I284" i="8"/>
  <c r="J284" i="8" s="1"/>
  <c r="I285" i="8"/>
  <c r="J285" i="8" s="1"/>
  <c r="I286" i="8"/>
  <c r="J286" i="8" s="1"/>
  <c r="I287" i="8"/>
  <c r="J287" i="8" s="1"/>
  <c r="I288" i="8"/>
  <c r="J288" i="8" s="1"/>
  <c r="I289" i="8"/>
  <c r="J289" i="8" s="1"/>
  <c r="I290" i="8"/>
  <c r="J290" i="8" s="1"/>
  <c r="I291" i="8"/>
  <c r="J291" i="8" s="1"/>
  <c r="I292" i="8"/>
  <c r="J292" i="8" s="1"/>
  <c r="I293" i="8"/>
  <c r="J293" i="8" s="1"/>
  <c r="I294" i="8"/>
  <c r="J294" i="8" s="1"/>
  <c r="I295" i="8"/>
  <c r="J295" i="8" s="1"/>
  <c r="I296" i="8"/>
  <c r="J296" i="8" s="1"/>
  <c r="I297" i="8"/>
  <c r="J297" i="8" s="1"/>
  <c r="I298" i="8"/>
  <c r="J298" i="8" s="1"/>
  <c r="I299" i="8"/>
  <c r="J299" i="8" s="1"/>
  <c r="I300" i="8"/>
  <c r="J300" i="8" s="1"/>
  <c r="I301" i="8"/>
  <c r="J301" i="8" s="1"/>
  <c r="I302" i="8"/>
  <c r="J302" i="8" s="1"/>
  <c r="I303" i="8"/>
  <c r="J303" i="8" s="1"/>
  <c r="I304" i="8"/>
  <c r="J304" i="8" s="1"/>
  <c r="I305" i="8"/>
  <c r="J305" i="8" s="1"/>
  <c r="I306" i="8"/>
  <c r="J306" i="8" s="1"/>
  <c r="I307" i="8"/>
  <c r="J307" i="8" s="1"/>
  <c r="I308" i="8"/>
  <c r="J308" i="8" s="1"/>
  <c r="I309" i="8"/>
  <c r="J309" i="8" s="1"/>
  <c r="I310" i="8"/>
  <c r="J310" i="8" s="1"/>
  <c r="I311" i="8"/>
  <c r="J311" i="8" s="1"/>
  <c r="I312" i="8"/>
  <c r="J312" i="8" s="1"/>
  <c r="I313" i="8"/>
  <c r="J313" i="8" s="1"/>
  <c r="I314" i="8"/>
  <c r="J314" i="8" s="1"/>
  <c r="I315" i="8"/>
  <c r="J315" i="8" s="1"/>
  <c r="I316" i="8"/>
  <c r="J316" i="8" s="1"/>
  <c r="I317" i="8"/>
  <c r="J317" i="8" s="1"/>
  <c r="I318" i="8"/>
  <c r="J318" i="8" s="1"/>
  <c r="I319" i="8"/>
  <c r="J319" i="8" s="1"/>
  <c r="I320" i="8"/>
  <c r="J320" i="8" s="1"/>
  <c r="I321" i="8"/>
  <c r="J321" i="8" s="1"/>
  <c r="I322" i="8"/>
  <c r="J322" i="8" s="1"/>
  <c r="I323" i="8"/>
  <c r="J323" i="8" s="1"/>
  <c r="I324" i="8"/>
  <c r="J324" i="8" s="1"/>
  <c r="I325" i="8"/>
  <c r="J325" i="8" s="1"/>
  <c r="I326" i="8"/>
  <c r="J326" i="8" s="1"/>
  <c r="I327" i="8"/>
  <c r="J327" i="8" s="1"/>
  <c r="I328" i="8"/>
  <c r="J328" i="8" s="1"/>
  <c r="I329" i="8"/>
  <c r="J329" i="8" s="1"/>
  <c r="I330" i="8"/>
  <c r="J330" i="8" s="1"/>
  <c r="I331" i="8"/>
  <c r="J331" i="8" s="1"/>
  <c r="I332" i="8"/>
  <c r="J332" i="8" s="1"/>
  <c r="I333" i="8"/>
  <c r="J333" i="8" s="1"/>
  <c r="I334" i="8"/>
  <c r="J334" i="8" s="1"/>
  <c r="I335" i="8"/>
  <c r="J335" i="8" s="1"/>
  <c r="I336" i="8"/>
  <c r="J336" i="8" s="1"/>
  <c r="I337" i="8"/>
  <c r="J337" i="8" s="1"/>
  <c r="I338" i="8"/>
  <c r="J338" i="8" s="1"/>
  <c r="I339" i="8"/>
  <c r="J339" i="8" s="1"/>
  <c r="I340" i="8"/>
  <c r="J340" i="8" s="1"/>
  <c r="I341" i="8"/>
  <c r="J341" i="8" s="1"/>
  <c r="I342" i="8"/>
  <c r="J342" i="8" s="1"/>
  <c r="I343" i="8"/>
  <c r="J343" i="8" s="1"/>
  <c r="I344" i="8"/>
  <c r="J344" i="8" s="1"/>
  <c r="I345" i="8"/>
  <c r="J345" i="8" s="1"/>
  <c r="I346" i="8"/>
  <c r="J346" i="8" s="1"/>
  <c r="I347" i="8"/>
  <c r="J347" i="8" s="1"/>
  <c r="I348" i="8"/>
  <c r="J348" i="8" s="1"/>
  <c r="I349" i="8"/>
  <c r="J349" i="8" s="1"/>
  <c r="I350" i="8"/>
  <c r="J350" i="8" s="1"/>
  <c r="I351" i="8"/>
  <c r="J351" i="8" s="1"/>
  <c r="I352" i="8"/>
  <c r="J352" i="8" s="1"/>
  <c r="I353" i="8"/>
  <c r="J353" i="8" s="1"/>
  <c r="I354" i="8"/>
  <c r="J354" i="8" s="1"/>
  <c r="I355" i="8"/>
  <c r="J355" i="8" s="1"/>
  <c r="I356" i="8"/>
  <c r="J356" i="8" s="1"/>
  <c r="I357" i="8"/>
  <c r="J357" i="8" s="1"/>
  <c r="I358" i="8"/>
  <c r="J358" i="8" s="1"/>
  <c r="I359" i="8"/>
  <c r="J359" i="8" s="1"/>
  <c r="I360" i="8"/>
  <c r="J360" i="8" s="1"/>
  <c r="I361" i="8"/>
  <c r="J361" i="8" s="1"/>
  <c r="I362" i="8"/>
  <c r="J362" i="8" s="1"/>
  <c r="I363" i="8"/>
  <c r="J363" i="8" s="1"/>
  <c r="I364" i="8"/>
  <c r="J364" i="8" s="1"/>
  <c r="D4" i="8" l="1"/>
  <c r="I32" i="8"/>
  <c r="F29" i="8"/>
  <c r="I116" i="8"/>
  <c r="I35" i="8"/>
  <c r="I13" i="8"/>
  <c r="I118" i="8"/>
  <c r="I103" i="8"/>
  <c r="I18" i="8"/>
  <c r="I45" i="8"/>
  <c r="I143" i="8"/>
  <c r="I161" i="8"/>
  <c r="I128" i="8"/>
  <c r="I88" i="8"/>
  <c r="O48" i="8"/>
  <c r="F217" i="8"/>
  <c r="F109" i="8"/>
  <c r="M145" i="8"/>
  <c r="I117" i="8"/>
  <c r="I78" i="8"/>
  <c r="I17" i="8"/>
  <c r="I111" i="8"/>
  <c r="I21" i="8"/>
  <c r="H161" i="8"/>
  <c r="H241" i="8"/>
  <c r="M106" i="8"/>
  <c r="F151" i="8"/>
  <c r="H78" i="8"/>
  <c r="O115" i="8"/>
  <c r="H231" i="8"/>
  <c r="M155" i="8"/>
  <c r="O209" i="8"/>
  <c r="O127" i="8"/>
  <c r="H70" i="8"/>
  <c r="I101" i="8"/>
  <c r="I68" i="8"/>
  <c r="I158" i="8"/>
  <c r="I81" i="8"/>
  <c r="I80" i="8"/>
  <c r="J18" i="8"/>
  <c r="M70" i="8"/>
  <c r="O49" i="8"/>
  <c r="I150" i="8"/>
  <c r="J17" i="8"/>
  <c r="H115" i="8"/>
  <c r="F80" i="8"/>
  <c r="H217" i="8"/>
  <c r="M266" i="8"/>
  <c r="O359" i="8"/>
  <c r="M178" i="8"/>
  <c r="O104" i="8"/>
  <c r="M214" i="8"/>
  <c r="O240" i="8"/>
  <c r="H318" i="8"/>
  <c r="O318" i="8"/>
  <c r="M245" i="8"/>
  <c r="F67" i="8"/>
  <c r="F77" i="8"/>
  <c r="F290" i="8"/>
  <c r="M154" i="8"/>
  <c r="O328" i="8"/>
  <c r="O279" i="8"/>
  <c r="H253" i="8"/>
  <c r="O259" i="8"/>
  <c r="M216" i="8"/>
  <c r="I146" i="8"/>
  <c r="I90" i="8"/>
  <c r="I129" i="8"/>
  <c r="M153" i="8"/>
  <c r="I93" i="8"/>
  <c r="H236" i="8"/>
  <c r="F124" i="8"/>
  <c r="M41" i="8"/>
  <c r="O340" i="8"/>
  <c r="H96" i="8"/>
  <c r="F313" i="8"/>
  <c r="H312" i="8"/>
  <c r="O304" i="8"/>
  <c r="H150" i="8"/>
  <c r="O293" i="8"/>
  <c r="I48" i="8"/>
  <c r="I112" i="8"/>
  <c r="F60" i="8"/>
  <c r="M165" i="8"/>
  <c r="H181" i="8"/>
  <c r="M334" i="8"/>
  <c r="H105" i="8"/>
  <c r="H295" i="8"/>
  <c r="H220" i="8"/>
  <c r="O140" i="8"/>
  <c r="F220" i="8"/>
  <c r="M303" i="8"/>
  <c r="F275" i="8"/>
  <c r="F138" i="8"/>
  <c r="F188" i="8"/>
  <c r="H157" i="8"/>
  <c r="H133" i="8"/>
  <c r="H222" i="8"/>
  <c r="F87" i="8"/>
  <c r="H357" i="8"/>
  <c r="O362" i="8"/>
  <c r="H93" i="8"/>
  <c r="F232" i="8"/>
  <c r="F359" i="8"/>
  <c r="H108" i="8"/>
  <c r="F54" i="8"/>
  <c r="F176" i="8"/>
  <c r="O337" i="8"/>
  <c r="M176" i="8"/>
  <c r="H125" i="8"/>
  <c r="H198" i="8"/>
  <c r="H277" i="8"/>
  <c r="M249" i="8"/>
  <c r="H212" i="8"/>
  <c r="M183" i="8"/>
  <c r="M289" i="8"/>
  <c r="F250" i="8"/>
  <c r="F48" i="8"/>
  <c r="M269" i="8"/>
  <c r="F145" i="8"/>
  <c r="F226" i="8"/>
  <c r="H287" i="8"/>
  <c r="H269" i="8"/>
  <c r="I37" i="8"/>
  <c r="M29" i="8"/>
  <c r="I106" i="8"/>
  <c r="I99" i="8"/>
  <c r="I10" i="8"/>
  <c r="I73" i="8"/>
  <c r="I76" i="8"/>
  <c r="F16" i="8"/>
  <c r="I109" i="8"/>
  <c r="H12" i="8"/>
  <c r="I23" i="8"/>
  <c r="I25" i="8"/>
  <c r="O299" i="8"/>
  <c r="M164" i="8"/>
  <c r="M122" i="8"/>
  <c r="F346" i="8"/>
  <c r="I83" i="8"/>
  <c r="I121" i="8"/>
  <c r="I40" i="8"/>
  <c r="I31" i="8"/>
  <c r="M182" i="8"/>
  <c r="H257" i="8"/>
  <c r="F99" i="8"/>
  <c r="O268" i="8"/>
  <c r="F238" i="8"/>
  <c r="M355" i="8"/>
  <c r="O119" i="8"/>
  <c r="F228" i="8"/>
  <c r="F187" i="8"/>
  <c r="F90" i="8"/>
  <c r="H29" i="8"/>
  <c r="I67" i="8"/>
  <c r="I41" i="8"/>
  <c r="I20" i="8"/>
  <c r="I156" i="8"/>
  <c r="I127" i="8"/>
  <c r="M179" i="8"/>
  <c r="F164" i="8"/>
  <c r="I53" i="8"/>
  <c r="I132" i="8"/>
  <c r="I159" i="8"/>
  <c r="M219" i="8"/>
  <c r="M169" i="8"/>
  <c r="O243" i="8"/>
  <c r="F203" i="8"/>
  <c r="F126" i="8"/>
  <c r="O257" i="8"/>
  <c r="O226" i="8"/>
  <c r="M299" i="8"/>
  <c r="F301" i="8"/>
  <c r="O289" i="8"/>
  <c r="M139" i="8"/>
  <c r="M324" i="8"/>
  <c r="H283" i="8"/>
  <c r="F259" i="8"/>
  <c r="F326" i="8"/>
  <c r="M65" i="8"/>
  <c r="O231" i="8"/>
  <c r="H116" i="8"/>
  <c r="M62" i="8"/>
  <c r="F43" i="8"/>
  <c r="I154" i="8"/>
  <c r="I38" i="8"/>
  <c r="I79" i="8"/>
  <c r="I24" i="8"/>
  <c r="I84" i="8"/>
  <c r="I59" i="8"/>
  <c r="O205" i="8"/>
  <c r="F214" i="8"/>
  <c r="O145" i="8"/>
  <c r="H87" i="8"/>
  <c r="O252" i="8"/>
  <c r="F286" i="8"/>
  <c r="M364" i="8"/>
  <c r="H144" i="8"/>
  <c r="F325" i="8"/>
  <c r="F111" i="8"/>
  <c r="I115" i="8"/>
  <c r="I50" i="8"/>
  <c r="I34" i="8"/>
  <c r="O46" i="8"/>
  <c r="H240" i="8"/>
  <c r="O95" i="8"/>
  <c r="M135" i="8"/>
  <c r="M304" i="8"/>
  <c r="M201" i="8"/>
  <c r="H162" i="8"/>
  <c r="H177" i="8"/>
  <c r="M105" i="8"/>
  <c r="F165" i="8"/>
  <c r="M116" i="8"/>
  <c r="H358" i="8"/>
  <c r="O168" i="8"/>
  <c r="H132" i="8"/>
  <c r="H351" i="8"/>
  <c r="M53" i="8"/>
  <c r="O244" i="8"/>
  <c r="F186" i="8"/>
  <c r="O57" i="8"/>
  <c r="O305" i="8"/>
  <c r="O353" i="8"/>
  <c r="F314" i="8"/>
  <c r="O232" i="8"/>
  <c r="M193" i="8"/>
  <c r="N127" i="8"/>
  <c r="M284" i="8"/>
  <c r="M146" i="8"/>
  <c r="F153" i="8"/>
  <c r="H48" i="8"/>
  <c r="H242" i="8"/>
  <c r="F42" i="8"/>
  <c r="M43" i="8"/>
  <c r="M134" i="8"/>
  <c r="O329" i="8"/>
  <c r="F341" i="8"/>
  <c r="H246" i="8"/>
  <c r="F311" i="8"/>
  <c r="F215" i="8"/>
  <c r="H68" i="8"/>
  <c r="O166" i="8"/>
  <c r="H361" i="8"/>
  <c r="H32" i="8"/>
  <c r="N328" i="8"/>
  <c r="O12" i="8"/>
  <c r="I74" i="8"/>
  <c r="I29" i="8"/>
  <c r="I69" i="8"/>
  <c r="I163" i="8"/>
  <c r="I36" i="8"/>
  <c r="J36" i="8" s="1"/>
  <c r="I137" i="8"/>
  <c r="I58" i="8"/>
  <c r="I56" i="8"/>
  <c r="I144" i="8"/>
  <c r="I97" i="8"/>
  <c r="I49" i="8"/>
  <c r="I98" i="8"/>
  <c r="I11" i="8"/>
  <c r="F47" i="8"/>
  <c r="M262" i="8"/>
  <c r="H49" i="8"/>
  <c r="H252" i="8"/>
  <c r="I164" i="8"/>
  <c r="I87" i="8"/>
  <c r="I130" i="8"/>
  <c r="I33" i="8"/>
  <c r="J33" i="8" s="1"/>
  <c r="I114" i="8"/>
  <c r="H193" i="8"/>
  <c r="M75" i="8"/>
  <c r="H135" i="8"/>
  <c r="O108" i="8"/>
  <c r="N108" i="8" s="1"/>
  <c r="H296" i="8"/>
  <c r="M210" i="8"/>
  <c r="M140" i="8"/>
  <c r="H85" i="8"/>
  <c r="O163" i="8"/>
  <c r="F78" i="8"/>
  <c r="J29" i="8"/>
  <c r="I136" i="8"/>
  <c r="I102" i="8"/>
  <c r="I100" i="8"/>
  <c r="I153" i="8"/>
  <c r="H16" i="8"/>
  <c r="M195" i="8"/>
  <c r="F196" i="8"/>
  <c r="I147" i="8"/>
  <c r="I157" i="8"/>
  <c r="I139" i="8"/>
  <c r="M150" i="8"/>
  <c r="H248" i="8"/>
  <c r="F315" i="8"/>
  <c r="H123" i="8"/>
  <c r="H311" i="8"/>
  <c r="M358" i="8"/>
  <c r="O239" i="8"/>
  <c r="F64" i="8"/>
  <c r="H151" i="8"/>
  <c r="H159" i="8"/>
  <c r="O116" i="8"/>
  <c r="M166" i="8"/>
  <c r="H200" i="8"/>
  <c r="O162" i="8"/>
  <c r="N162" i="8" s="1"/>
  <c r="M168" i="8"/>
  <c r="O297" i="8"/>
  <c r="O59" i="8"/>
  <c r="F324" i="8"/>
  <c r="H84" i="8"/>
  <c r="M330" i="8"/>
  <c r="I64" i="8"/>
  <c r="I71" i="8"/>
  <c r="I162" i="8"/>
  <c r="O69" i="8"/>
  <c r="I16" i="8"/>
  <c r="I108" i="8"/>
  <c r="H102" i="8"/>
  <c r="M163" i="8"/>
  <c r="O132" i="8"/>
  <c r="M321" i="8"/>
  <c r="F171" i="8"/>
  <c r="F74" i="8"/>
  <c r="O341" i="8"/>
  <c r="O288" i="8"/>
  <c r="M54" i="8"/>
  <c r="F240" i="8"/>
  <c r="O16" i="8"/>
  <c r="I47" i="8"/>
  <c r="I75" i="8"/>
  <c r="M45" i="8"/>
  <c r="H73" i="8"/>
  <c r="F68" i="8"/>
  <c r="H51" i="8"/>
  <c r="M186" i="8"/>
  <c r="H52" i="8"/>
  <c r="M344" i="8"/>
  <c r="H293" i="8"/>
  <c r="H154" i="8"/>
  <c r="M144" i="8"/>
  <c r="H185" i="8"/>
  <c r="H56" i="8"/>
  <c r="M59" i="8"/>
  <c r="F336" i="8"/>
  <c r="M236" i="8"/>
  <c r="O54" i="8"/>
  <c r="F299" i="8"/>
  <c r="H336" i="8"/>
  <c r="M181" i="8"/>
  <c r="M231" i="8"/>
  <c r="H137" i="8"/>
  <c r="F231" i="8"/>
  <c r="O256" i="8"/>
  <c r="O286" i="8"/>
  <c r="O91" i="8"/>
  <c r="M333" i="8"/>
  <c r="O51" i="8"/>
  <c r="O241" i="8"/>
  <c r="O263" i="8"/>
  <c r="M56" i="8"/>
  <c r="M235" i="8"/>
  <c r="M336" i="8"/>
  <c r="O197" i="8"/>
  <c r="O348" i="8"/>
  <c r="M254" i="8"/>
  <c r="O159" i="8"/>
  <c r="M94" i="8"/>
  <c r="O345" i="8"/>
  <c r="F278" i="8"/>
  <c r="F112" i="8"/>
  <c r="H271" i="8"/>
  <c r="O138" i="8"/>
  <c r="N286" i="8"/>
  <c r="O99" i="8"/>
  <c r="I140" i="8"/>
  <c r="M361" i="8"/>
  <c r="I133" i="8"/>
  <c r="J13" i="8"/>
  <c r="I63" i="8"/>
  <c r="H250" i="8"/>
  <c r="I149" i="8"/>
  <c r="M215" i="8"/>
  <c r="F108" i="8"/>
  <c r="H122" i="8"/>
  <c r="I135" i="8"/>
  <c r="H192" i="8"/>
  <c r="O175" i="8"/>
  <c r="N175" i="8" s="1"/>
  <c r="H54" i="8"/>
  <c r="M308" i="8"/>
  <c r="O74" i="8"/>
  <c r="M77" i="8"/>
  <c r="O331" i="8"/>
  <c r="F239" i="8"/>
  <c r="F115" i="8"/>
  <c r="O200" i="8"/>
  <c r="F62" i="8"/>
  <c r="F327" i="8"/>
  <c r="M251" i="8"/>
  <c r="H143" i="8"/>
  <c r="H61" i="8"/>
  <c r="F59" i="8"/>
  <c r="O254" i="8"/>
  <c r="M111" i="8"/>
  <c r="H290" i="8"/>
  <c r="H216" i="8"/>
  <c r="H218" i="8"/>
  <c r="H94" i="8"/>
  <c r="I145" i="8"/>
  <c r="I82" i="8"/>
  <c r="O173" i="8"/>
  <c r="M64" i="8"/>
  <c r="H268" i="8"/>
  <c r="M351" i="8"/>
  <c r="O213" i="8"/>
  <c r="F12" i="8"/>
  <c r="O225" i="8"/>
  <c r="M136" i="8"/>
  <c r="H272" i="8"/>
  <c r="F305" i="8"/>
  <c r="M341" i="8"/>
  <c r="M331" i="8"/>
  <c r="M191" i="8"/>
  <c r="F357" i="8"/>
  <c r="M189" i="8"/>
  <c r="F106" i="8"/>
  <c r="H333" i="8"/>
  <c r="O80" i="8"/>
  <c r="M84" i="8"/>
  <c r="M320" i="8"/>
  <c r="F130" i="8"/>
  <c r="F170" i="8"/>
  <c r="F76" i="8"/>
  <c r="M92" i="8"/>
  <c r="H46" i="8"/>
  <c r="O315" i="8"/>
  <c r="O227" i="8"/>
  <c r="N256" i="8"/>
  <c r="N315" i="8"/>
  <c r="M294" i="8"/>
  <c r="F260" i="8"/>
  <c r="M272" i="8"/>
  <c r="H82" i="8"/>
  <c r="F351" i="8"/>
  <c r="O44" i="8"/>
  <c r="F296" i="8"/>
  <c r="N104" i="8"/>
  <c r="F157" i="8"/>
  <c r="M63" i="8"/>
  <c r="H131" i="8"/>
  <c r="M280" i="8"/>
  <c r="I72" i="8"/>
  <c r="F156" i="8"/>
  <c r="O336" i="8"/>
  <c r="M121" i="8"/>
  <c r="M93" i="8"/>
  <c r="M107" i="8"/>
  <c r="F307" i="8"/>
  <c r="O152" i="8"/>
  <c r="O338" i="8"/>
  <c r="H321" i="8"/>
  <c r="F45" i="8"/>
  <c r="M51" i="8"/>
  <c r="F354" i="8"/>
  <c r="M81" i="8"/>
  <c r="M160" i="8"/>
  <c r="M87" i="8"/>
  <c r="F333" i="8"/>
  <c r="O83" i="8"/>
  <c r="M57" i="8"/>
  <c r="F57" i="8"/>
  <c r="O158" i="8"/>
  <c r="O280" i="8"/>
  <c r="H165" i="8"/>
  <c r="M96" i="8"/>
  <c r="H120" i="8"/>
  <c r="O220" i="8"/>
  <c r="M68" i="8"/>
  <c r="F58" i="8"/>
  <c r="N205" i="8"/>
  <c r="F71" i="8"/>
  <c r="F190" i="8"/>
  <c r="H53" i="8"/>
  <c r="M273" i="8"/>
  <c r="F104" i="8"/>
  <c r="N158" i="8"/>
  <c r="F350" i="8"/>
  <c r="O265" i="8"/>
  <c r="M61" i="8"/>
  <c r="M39" i="8"/>
  <c r="O85" i="8"/>
  <c r="I122" i="8"/>
  <c r="M234" i="8"/>
  <c r="F202" i="8"/>
  <c r="O316" i="8"/>
  <c r="F207" i="8"/>
  <c r="F129" i="8"/>
  <c r="O206" i="8"/>
  <c r="O194" i="8"/>
  <c r="M143" i="8"/>
  <c r="M217" i="8"/>
  <c r="H328" i="8"/>
  <c r="I46" i="8"/>
  <c r="I141" i="8"/>
  <c r="I43" i="8"/>
  <c r="O332" i="8"/>
  <c r="I44" i="8"/>
  <c r="M354" i="8"/>
  <c r="M66" i="8"/>
  <c r="O188" i="8"/>
  <c r="I77" i="8"/>
  <c r="O183" i="8"/>
  <c r="F134" i="8"/>
  <c r="H106" i="8"/>
  <c r="O339" i="8"/>
  <c r="M327" i="8"/>
  <c r="F276" i="8"/>
  <c r="I86" i="8"/>
  <c r="I151" i="8"/>
  <c r="M306" i="8"/>
  <c r="M356" i="8"/>
  <c r="I89" i="8"/>
  <c r="O81" i="8"/>
  <c r="N81" i="8" s="1"/>
  <c r="F221" i="8"/>
  <c r="F66" i="8"/>
  <c r="H74" i="8"/>
  <c r="H127" i="8"/>
  <c r="F281" i="8"/>
  <c r="M208" i="8"/>
  <c r="N183" i="8"/>
  <c r="F121" i="8"/>
  <c r="F83" i="8"/>
  <c r="H34" i="8"/>
  <c r="J35" i="8"/>
  <c r="M12" i="8"/>
  <c r="M131" i="8"/>
  <c r="M363" i="8"/>
  <c r="H41" i="8"/>
  <c r="M246" i="8"/>
  <c r="M322" i="8"/>
  <c r="J46" i="8"/>
  <c r="O247" i="8"/>
  <c r="O148" i="8"/>
  <c r="M316" i="8"/>
  <c r="O103" i="8"/>
  <c r="O77" i="8"/>
  <c r="F287" i="8"/>
  <c r="M104" i="8"/>
  <c r="F349" i="8"/>
  <c r="M230" i="8"/>
  <c r="O62" i="8"/>
  <c r="O273" i="8"/>
  <c r="M297" i="8"/>
  <c r="H206" i="8"/>
  <c r="O143" i="8"/>
  <c r="M238" i="8"/>
  <c r="N268" i="8"/>
  <c r="H139" i="8"/>
  <c r="H75" i="8"/>
  <c r="F193" i="8"/>
  <c r="O294" i="8"/>
  <c r="H355" i="8"/>
  <c r="M85" i="8"/>
  <c r="M220" i="8"/>
  <c r="H347" i="8"/>
  <c r="H58" i="8"/>
  <c r="F225" i="8"/>
  <c r="F306" i="8"/>
  <c r="H303" i="8"/>
  <c r="H223" i="8"/>
  <c r="M38" i="8"/>
  <c r="N257" i="8"/>
  <c r="F338" i="8"/>
  <c r="M200" i="8"/>
  <c r="O295" i="8"/>
  <c r="O118" i="8"/>
  <c r="I12" i="8"/>
  <c r="O203" i="8"/>
  <c r="M115" i="8"/>
  <c r="H176" i="8"/>
  <c r="M286" i="8"/>
  <c r="H89" i="8"/>
  <c r="H307" i="8"/>
  <c r="H215" i="8"/>
  <c r="H280" i="8"/>
  <c r="O271" i="8"/>
  <c r="H348" i="8"/>
  <c r="H346" i="8"/>
  <c r="M278" i="8"/>
  <c r="F212" i="8"/>
  <c r="O179" i="8"/>
  <c r="M199" i="8"/>
  <c r="O302" i="8"/>
  <c r="F273" i="8"/>
  <c r="O29" i="8"/>
  <c r="I138" i="8"/>
  <c r="F144" i="8"/>
  <c r="M211" i="8"/>
  <c r="I94" i="8"/>
  <c r="H196" i="8"/>
  <c r="H129" i="8"/>
  <c r="M343" i="8"/>
  <c r="I124" i="8"/>
  <c r="I126" i="8"/>
  <c r="M15" i="8"/>
  <c r="I70" i="8"/>
  <c r="I120" i="8"/>
  <c r="O195" i="8"/>
  <c r="F358" i="8"/>
  <c r="I165" i="8"/>
  <c r="I155" i="8"/>
  <c r="I92" i="8"/>
  <c r="H322" i="8"/>
  <c r="F173" i="8"/>
  <c r="O171" i="8"/>
  <c r="F363" i="8"/>
  <c r="O230" i="8"/>
  <c r="J10" i="8"/>
  <c r="M310" i="8"/>
  <c r="M360" i="8"/>
  <c r="H187" i="8"/>
  <c r="I60" i="8"/>
  <c r="M97" i="8"/>
  <c r="M302" i="8"/>
  <c r="F241" i="8"/>
  <c r="H186" i="8"/>
  <c r="F294" i="8"/>
  <c r="M257" i="8"/>
  <c r="M250" i="8"/>
  <c r="F86" i="8"/>
  <c r="F88" i="8"/>
  <c r="F197" i="8"/>
  <c r="N57" i="8"/>
  <c r="M148" i="8"/>
  <c r="H124" i="8"/>
  <c r="H202" i="8"/>
  <c r="M44" i="8"/>
  <c r="F166" i="8"/>
  <c r="F269" i="8"/>
  <c r="I30" i="8"/>
  <c r="I113" i="8"/>
  <c r="M112" i="8"/>
  <c r="O326" i="8"/>
  <c r="M263" i="8"/>
  <c r="F288" i="8"/>
  <c r="F93" i="8"/>
  <c r="M281" i="8"/>
  <c r="H224" i="8"/>
  <c r="O60" i="8"/>
  <c r="O212" i="8"/>
  <c r="M42" i="8"/>
  <c r="O296" i="8"/>
  <c r="F263" i="8"/>
  <c r="M109" i="8"/>
  <c r="O223" i="8"/>
  <c r="H234" i="8"/>
  <c r="H310" i="8"/>
  <c r="O219" i="8"/>
  <c r="F277" i="8"/>
  <c r="H363" i="8"/>
  <c r="O117" i="8"/>
  <c r="O237" i="8"/>
  <c r="N230" i="8"/>
  <c r="O177" i="8"/>
  <c r="M113" i="8"/>
  <c r="H60" i="8"/>
  <c r="M120" i="8"/>
  <c r="O323" i="8"/>
  <c r="F209" i="8"/>
  <c r="F118" i="8"/>
  <c r="N318" i="8"/>
  <c r="M35" i="8"/>
  <c r="O56" i="8"/>
  <c r="N56" i="8" s="1"/>
  <c r="M80" i="8"/>
  <c r="H324" i="8"/>
  <c r="O275" i="8"/>
  <c r="I104" i="8"/>
  <c r="I95" i="8"/>
  <c r="M203" i="8"/>
  <c r="F337" i="8"/>
  <c r="H134" i="8"/>
  <c r="M312" i="8"/>
  <c r="F291" i="8"/>
  <c r="H211" i="8"/>
  <c r="H98" i="8"/>
  <c r="H325" i="8"/>
  <c r="O87" i="8"/>
  <c r="H88" i="8"/>
  <c r="F233" i="8"/>
  <c r="H174" i="8"/>
  <c r="H121" i="8"/>
  <c r="M335" i="8"/>
  <c r="M162" i="8"/>
  <c r="O192" i="8"/>
  <c r="O224" i="8"/>
  <c r="I105" i="8"/>
  <c r="I62" i="8"/>
  <c r="H327" i="8"/>
  <c r="F268" i="8"/>
  <c r="I125" i="8"/>
  <c r="F361" i="8"/>
  <c r="M188" i="8"/>
  <c r="O72" i="8"/>
  <c r="F364" i="8"/>
  <c r="H114" i="8"/>
  <c r="F63" i="8"/>
  <c r="H81" i="8"/>
  <c r="F218" i="8"/>
  <c r="H182" i="8"/>
  <c r="O307" i="8"/>
  <c r="N231" i="8"/>
  <c r="H207" i="8"/>
  <c r="O58" i="8"/>
  <c r="O281" i="8"/>
  <c r="H317" i="8"/>
  <c r="H40" i="8"/>
  <c r="O207" i="8"/>
  <c r="I85" i="8"/>
  <c r="H183" i="8"/>
  <c r="F246" i="8"/>
  <c r="F256" i="8"/>
  <c r="M240" i="8"/>
  <c r="O172" i="8"/>
  <c r="F210" i="8"/>
  <c r="H331" i="8"/>
  <c r="O84" i="8"/>
  <c r="H237" i="8"/>
  <c r="F249" i="8"/>
  <c r="H72" i="8"/>
  <c r="I39" i="8"/>
  <c r="J39" i="8" s="1"/>
  <c r="J49" i="8"/>
  <c r="I107" i="8"/>
  <c r="F195" i="8"/>
  <c r="H256" i="8"/>
  <c r="O214" i="8"/>
  <c r="F304" i="8"/>
  <c r="M46" i="8"/>
  <c r="O109" i="8"/>
  <c r="O106" i="8"/>
  <c r="H188" i="8"/>
  <c r="F50" i="8"/>
  <c r="M130" i="8"/>
  <c r="H210" i="8"/>
  <c r="H194" i="8"/>
  <c r="N297" i="8"/>
  <c r="H163" i="8"/>
  <c r="F36" i="8"/>
  <c r="H228" i="8"/>
  <c r="O303" i="8"/>
  <c r="O351" i="8"/>
  <c r="F258" i="8"/>
  <c r="H138" i="8"/>
  <c r="M72" i="8"/>
  <c r="F312" i="8"/>
  <c r="H145" i="8"/>
  <c r="O342" i="8"/>
  <c r="H344" i="8"/>
  <c r="O128" i="8"/>
  <c r="N103" i="8"/>
  <c r="H323" i="8"/>
  <c r="O36" i="8"/>
  <c r="F85" i="8"/>
  <c r="O189" i="8"/>
  <c r="H320" i="8"/>
  <c r="F343" i="8"/>
  <c r="F262" i="8"/>
  <c r="O97" i="8"/>
  <c r="M206" i="8"/>
  <c r="M339" i="8"/>
  <c r="H270" i="8"/>
  <c r="N106" i="8"/>
  <c r="F110" i="8"/>
  <c r="F347" i="8"/>
  <c r="O234" i="8"/>
  <c r="O324" i="8"/>
  <c r="F38" i="8"/>
  <c r="O274" i="8"/>
  <c r="M207" i="8"/>
  <c r="F331" i="8"/>
  <c r="M348" i="8"/>
  <c r="O333" i="8"/>
  <c r="O319" i="8"/>
  <c r="H101" i="8"/>
  <c r="M357" i="8"/>
  <c r="N223" i="8"/>
  <c r="M34" i="8"/>
  <c r="M161" i="8"/>
  <c r="O292" i="8"/>
  <c r="F127" i="8"/>
  <c r="F89" i="8"/>
  <c r="O284" i="8"/>
  <c r="O301" i="8"/>
  <c r="N99" i="8"/>
  <c r="N166" i="8"/>
  <c r="O129" i="8"/>
  <c r="H66" i="8"/>
  <c r="N247" i="8"/>
  <c r="H204" i="8"/>
  <c r="I152" i="8"/>
  <c r="I54" i="8"/>
  <c r="O136" i="8"/>
  <c r="O124" i="8"/>
  <c r="M197" i="8"/>
  <c r="H42" i="8"/>
  <c r="M212" i="8"/>
  <c r="H305" i="8"/>
  <c r="M89" i="8"/>
  <c r="F189" i="8"/>
  <c r="M48" i="8"/>
  <c r="O261" i="8"/>
  <c r="H288" i="8"/>
  <c r="M185" i="8"/>
  <c r="H97" i="8"/>
  <c r="O89" i="8"/>
  <c r="H63" i="8"/>
  <c r="H282" i="8"/>
  <c r="O90" i="8"/>
  <c r="H300" i="8"/>
  <c r="O176" i="8"/>
  <c r="H148" i="8"/>
  <c r="H226" i="8"/>
  <c r="N179" i="8"/>
  <c r="N351" i="8"/>
  <c r="H238" i="8"/>
  <c r="M98" i="8"/>
  <c r="O236" i="8"/>
  <c r="N119" i="8"/>
  <c r="H39" i="8"/>
  <c r="N177" i="8"/>
  <c r="H259" i="8"/>
  <c r="O107" i="8"/>
  <c r="H309" i="8"/>
  <c r="O228" i="8"/>
  <c r="F152" i="8"/>
  <c r="O123" i="8"/>
  <c r="F135" i="8"/>
  <c r="F32" i="8"/>
  <c r="H168" i="8"/>
  <c r="O47" i="8"/>
  <c r="M192" i="8"/>
  <c r="N244" i="8"/>
  <c r="F81" i="8"/>
  <c r="H330" i="8"/>
  <c r="M173" i="8"/>
  <c r="N212" i="8"/>
  <c r="F33" i="8"/>
  <c r="F235" i="8"/>
  <c r="N326" i="8"/>
  <c r="N159" i="8"/>
  <c r="N341" i="8"/>
  <c r="F15" i="8"/>
  <c r="M202" i="8"/>
  <c r="M86" i="8"/>
  <c r="F227" i="8"/>
  <c r="I123" i="8"/>
  <c r="M242" i="8"/>
  <c r="I91" i="8"/>
  <c r="H284" i="8"/>
  <c r="I28" i="8"/>
  <c r="H92" i="8"/>
  <c r="M288" i="8"/>
  <c r="M82" i="8"/>
  <c r="O334" i="8"/>
  <c r="M329" i="8"/>
  <c r="F182" i="8"/>
  <c r="I160" i="8"/>
  <c r="O235" i="8"/>
  <c r="H195" i="8"/>
  <c r="M264" i="8"/>
  <c r="H298" i="8"/>
  <c r="O96" i="8"/>
  <c r="M152" i="8"/>
  <c r="O76" i="8"/>
  <c r="N294" i="8"/>
  <c r="O343" i="8"/>
  <c r="O358" i="8"/>
  <c r="F102" i="8"/>
  <c r="F73" i="8"/>
  <c r="H47" i="8"/>
  <c r="I26" i="8"/>
  <c r="I27" i="8"/>
  <c r="F154" i="8"/>
  <c r="F328" i="8"/>
  <c r="M352" i="8"/>
  <c r="F300" i="8"/>
  <c r="H315" i="8"/>
  <c r="M346" i="8"/>
  <c r="N220" i="8"/>
  <c r="M157" i="8"/>
  <c r="M175" i="8"/>
  <c r="F146" i="8"/>
  <c r="H209" i="8"/>
  <c r="F284" i="8"/>
  <c r="M190" i="8"/>
  <c r="O79" i="8"/>
  <c r="H50" i="8"/>
  <c r="N226" i="8"/>
  <c r="N192" i="8"/>
  <c r="F178" i="8"/>
  <c r="F272" i="8"/>
  <c r="O141" i="8"/>
  <c r="N77" i="8"/>
  <c r="M218" i="8"/>
  <c r="M319" i="8"/>
  <c r="F44" i="8"/>
  <c r="F200" i="8"/>
  <c r="M239" i="8"/>
  <c r="H349" i="8"/>
  <c r="O187" i="8"/>
  <c r="M55" i="8"/>
  <c r="N295" i="8"/>
  <c r="F318" i="8"/>
  <c r="H199" i="8"/>
  <c r="O269" i="8"/>
  <c r="H345" i="8"/>
  <c r="H112" i="8"/>
  <c r="F279" i="8"/>
  <c r="O164" i="8"/>
  <c r="M326" i="8"/>
  <c r="N164" i="8"/>
  <c r="F119" i="8"/>
  <c r="O221" i="8"/>
  <c r="N345" i="8"/>
  <c r="I14" i="8"/>
  <c r="J21" i="8"/>
  <c r="O201" i="8"/>
  <c r="O131" i="8"/>
  <c r="H264" i="8"/>
  <c r="O45" i="8"/>
  <c r="F248" i="8"/>
  <c r="H128" i="8"/>
  <c r="O137" i="8"/>
  <c r="M95" i="8"/>
  <c r="H278" i="8"/>
  <c r="F242" i="8"/>
  <c r="N362" i="8"/>
  <c r="O93" i="8"/>
  <c r="F213" i="8"/>
  <c r="O267" i="8"/>
  <c r="H155" i="8"/>
  <c r="O276" i="8"/>
  <c r="M256" i="8"/>
  <c r="F323" i="8"/>
  <c r="O355" i="8"/>
  <c r="H67" i="8"/>
  <c r="M103" i="8"/>
  <c r="M36" i="8"/>
  <c r="H35" i="8"/>
  <c r="H255" i="8"/>
  <c r="M141" i="8"/>
  <c r="O196" i="8"/>
  <c r="F330" i="8"/>
  <c r="H329" i="8"/>
  <c r="O311" i="8"/>
  <c r="F123" i="8"/>
  <c r="O258" i="8"/>
  <c r="H147" i="8"/>
  <c r="M194" i="8"/>
  <c r="F355" i="8"/>
  <c r="N275" i="8"/>
  <c r="N219" i="8"/>
  <c r="N163" i="8"/>
  <c r="M259" i="8"/>
  <c r="F211" i="8"/>
  <c r="O250" i="8"/>
  <c r="H352" i="8"/>
  <c r="H334" i="8"/>
  <c r="H77" i="8"/>
  <c r="N132" i="8"/>
  <c r="O39" i="8"/>
  <c r="N188" i="8"/>
  <c r="N336" i="8"/>
  <c r="N243" i="8"/>
  <c r="N323" i="8"/>
  <c r="I134" i="8"/>
  <c r="H314" i="8"/>
  <c r="O63" i="8"/>
  <c r="F117" i="8"/>
  <c r="F353" i="8"/>
  <c r="H203" i="8"/>
  <c r="F310" i="8"/>
  <c r="O112" i="8"/>
  <c r="O255" i="8"/>
  <c r="F229" i="8"/>
  <c r="O43" i="8"/>
  <c r="O242" i="8"/>
  <c r="N242" i="8" s="1"/>
  <c r="M76" i="8"/>
  <c r="H340" i="8"/>
  <c r="J32" i="8"/>
  <c r="H308" i="8"/>
  <c r="M265" i="8"/>
  <c r="O147" i="8"/>
  <c r="N147" i="8" s="1"/>
  <c r="F79" i="8"/>
  <c r="M295" i="8"/>
  <c r="H213" i="8"/>
  <c r="M241" i="8"/>
  <c r="N195" i="8"/>
  <c r="I42" i="8"/>
  <c r="N214" i="8"/>
  <c r="M151" i="8"/>
  <c r="O253" i="8"/>
  <c r="F266" i="8"/>
  <c r="H249" i="8"/>
  <c r="H111" i="8"/>
  <c r="H304" i="8"/>
  <c r="N115" i="8"/>
  <c r="H171" i="8"/>
  <c r="F72" i="8"/>
  <c r="H190" i="8"/>
  <c r="H262" i="8"/>
  <c r="F360" i="8"/>
  <c r="I110" i="8"/>
  <c r="H55" i="8"/>
  <c r="H301" i="8"/>
  <c r="O55" i="8"/>
  <c r="N55" i="8" s="1"/>
  <c r="N48" i="8"/>
  <c r="O113" i="8"/>
  <c r="M260" i="8"/>
  <c r="O298" i="8"/>
  <c r="N298" i="8" s="1"/>
  <c r="N84" i="8"/>
  <c r="F51" i="8"/>
  <c r="H142" i="8"/>
  <c r="F116" i="8"/>
  <c r="F223" i="8"/>
  <c r="N79" i="8"/>
  <c r="H43" i="8"/>
  <c r="H65" i="8"/>
  <c r="M205" i="8"/>
  <c r="M83" i="8"/>
  <c r="F201" i="8"/>
  <c r="M318" i="8"/>
  <c r="M300" i="8"/>
  <c r="M79" i="8"/>
  <c r="N240" i="8"/>
  <c r="N299" i="8"/>
  <c r="F282" i="8"/>
  <c r="H258" i="8"/>
  <c r="F230" i="8"/>
  <c r="M224" i="8"/>
  <c r="O186" i="8"/>
  <c r="F340" i="8"/>
  <c r="O88" i="8"/>
  <c r="N148" i="8"/>
  <c r="N96" i="8"/>
  <c r="N273" i="8"/>
  <c r="N281" i="8"/>
  <c r="N284" i="8"/>
  <c r="N200" i="8"/>
  <c r="I119" i="8"/>
  <c r="H90" i="8"/>
  <c r="O70" i="8"/>
  <c r="N70" i="8" s="1"/>
  <c r="O155" i="8"/>
  <c r="M258" i="8"/>
  <c r="O133" i="8"/>
  <c r="H275" i="8"/>
  <c r="F82" i="8"/>
  <c r="H172" i="8"/>
  <c r="F159" i="8"/>
  <c r="F96" i="8"/>
  <c r="F120" i="8"/>
  <c r="O125" i="8"/>
  <c r="F332" i="8"/>
  <c r="F237" i="8"/>
  <c r="M172" i="8"/>
  <c r="O291" i="8"/>
  <c r="F46" i="8"/>
  <c r="F168" i="8"/>
  <c r="O130" i="8"/>
  <c r="N130" i="8" s="1"/>
  <c r="O216" i="8"/>
  <c r="N97" i="8"/>
  <c r="M296" i="8"/>
  <c r="H31" i="8"/>
  <c r="F148" i="8"/>
  <c r="O64" i="8"/>
  <c r="F219" i="8"/>
  <c r="M277" i="8"/>
  <c r="M31" i="8"/>
  <c r="O217" i="8"/>
  <c r="M232" i="8"/>
  <c r="H140" i="8"/>
  <c r="H44" i="8"/>
  <c r="H80" i="8"/>
  <c r="O312" i="8"/>
  <c r="F255" i="8"/>
  <c r="O352" i="8"/>
  <c r="N293" i="8"/>
  <c r="N252" i="8"/>
  <c r="H15" i="8"/>
  <c r="O15" i="8"/>
  <c r="O198" i="8"/>
  <c r="H364" i="8"/>
  <c r="M298" i="8"/>
  <c r="H306" i="8"/>
  <c r="M49" i="8"/>
  <c r="M225" i="8"/>
  <c r="H189" i="8"/>
  <c r="O182" i="8"/>
  <c r="N182" i="8" s="1"/>
  <c r="N138" i="8"/>
  <c r="O354" i="8"/>
  <c r="H164" i="8"/>
  <c r="O270" i="8"/>
  <c r="N270" i="8" s="1"/>
  <c r="O335" i="8"/>
  <c r="M227" i="8"/>
  <c r="N74" i="8"/>
  <c r="M100" i="8"/>
  <c r="M209" i="8"/>
  <c r="F94" i="8"/>
  <c r="O120" i="8"/>
  <c r="O50" i="8"/>
  <c r="N253" i="8"/>
  <c r="M50" i="8"/>
  <c r="F147" i="8"/>
  <c r="F344" i="8"/>
  <c r="F34" i="8"/>
  <c r="F97" i="8"/>
  <c r="M247" i="8"/>
  <c r="O272" i="8"/>
  <c r="F161" i="8"/>
  <c r="N359" i="8"/>
  <c r="O233" i="8"/>
  <c r="F10" i="8"/>
  <c r="M137" i="8"/>
  <c r="O222" i="8"/>
  <c r="H233" i="8"/>
  <c r="M91" i="8"/>
  <c r="F163" i="8"/>
  <c r="F133" i="8"/>
  <c r="O30" i="8"/>
  <c r="O290" i="8"/>
  <c r="M40" i="8"/>
  <c r="O346" i="8"/>
  <c r="F257" i="8"/>
  <c r="F114" i="8"/>
  <c r="F285" i="8"/>
  <c r="O277" i="8"/>
  <c r="F199" i="8"/>
  <c r="M313" i="8"/>
  <c r="M110" i="8"/>
  <c r="O42" i="8"/>
  <c r="F69" i="8"/>
  <c r="H36" i="8"/>
  <c r="O202" i="8"/>
  <c r="F289" i="8"/>
  <c r="F334" i="8"/>
  <c r="H219" i="8"/>
  <c r="N198" i="8"/>
  <c r="H335" i="8"/>
  <c r="F270" i="8"/>
  <c r="H149" i="8"/>
  <c r="N69" i="8"/>
  <c r="F31" i="8"/>
  <c r="M347" i="8"/>
  <c r="I51" i="8"/>
  <c r="F139" i="8"/>
  <c r="O364" i="8"/>
  <c r="M293" i="8"/>
  <c r="M248" i="8"/>
  <c r="H289" i="8"/>
  <c r="H337" i="8"/>
  <c r="F180" i="8"/>
  <c r="H276" i="8"/>
  <c r="H126" i="8"/>
  <c r="F267" i="8"/>
  <c r="H69" i="8"/>
  <c r="N302" i="8"/>
  <c r="M60" i="8"/>
  <c r="O199" i="8"/>
  <c r="F254" i="8"/>
  <c r="M204" i="8"/>
  <c r="O360" i="8"/>
  <c r="M222" i="8"/>
  <c r="N346" i="8"/>
  <c r="M261" i="8"/>
  <c r="M271" i="8"/>
  <c r="F185" i="8"/>
  <c r="F247" i="8"/>
  <c r="F35" i="8"/>
  <c r="F252" i="8"/>
  <c r="M228" i="8"/>
  <c r="H235" i="8"/>
  <c r="F107" i="8"/>
  <c r="O114" i="8"/>
  <c r="O347" i="8"/>
  <c r="O150" i="8"/>
  <c r="H175" i="8"/>
  <c r="O38" i="8"/>
  <c r="F143" i="8"/>
  <c r="H247" i="8"/>
  <c r="H244" i="8"/>
  <c r="N209" i="8"/>
  <c r="M126" i="8"/>
  <c r="H156" i="8"/>
  <c r="H356" i="8"/>
  <c r="N225" i="8"/>
  <c r="F49" i="8"/>
  <c r="M243" i="8"/>
  <c r="H225" i="8"/>
  <c r="H230" i="8"/>
  <c r="F137" i="8"/>
  <c r="O330" i="8"/>
  <c r="N296" i="8"/>
  <c r="N140" i="8"/>
  <c r="O154" i="8"/>
  <c r="F339" i="8"/>
  <c r="F206" i="8"/>
  <c r="M37" i="8"/>
  <c r="N42" i="8"/>
  <c r="O314" i="8"/>
  <c r="O178" i="8"/>
  <c r="H245" i="8"/>
  <c r="H91" i="8"/>
  <c r="M307" i="8"/>
  <c r="F70" i="8"/>
  <c r="M187" i="8"/>
  <c r="F329" i="8"/>
  <c r="O100" i="8"/>
  <c r="O350" i="8"/>
  <c r="F181" i="8"/>
  <c r="N235" i="8"/>
  <c r="O184" i="8"/>
  <c r="M170" i="8"/>
  <c r="F105" i="8"/>
  <c r="F140" i="8"/>
  <c r="H273" i="8"/>
  <c r="F222" i="8"/>
  <c r="N199" i="8"/>
  <c r="F39" i="8"/>
  <c r="F61" i="8"/>
  <c r="H265" i="8"/>
  <c r="M285" i="8"/>
  <c r="N227" i="8"/>
  <c r="F251" i="8"/>
  <c r="N184" i="8"/>
  <c r="F84" i="8"/>
  <c r="N150" i="8"/>
  <c r="N217" i="8"/>
  <c r="N154" i="8"/>
  <c r="N85" i="8"/>
  <c r="J40" i="8"/>
  <c r="F19" i="8"/>
  <c r="H14" i="8"/>
  <c r="F27" i="8"/>
  <c r="F11" i="8"/>
  <c r="F20" i="8"/>
  <c r="M25" i="8"/>
  <c r="M10" i="8"/>
  <c r="N301" i="8"/>
  <c r="N224" i="8"/>
  <c r="J27" i="8"/>
  <c r="J20" i="8"/>
  <c r="H20" i="8"/>
  <c r="N141" i="8"/>
  <c r="O14" i="8"/>
  <c r="N202" i="8"/>
  <c r="N143" i="8"/>
  <c r="J26" i="8"/>
  <c r="F24" i="8"/>
  <c r="M18" i="8"/>
  <c r="H13" i="8"/>
  <c r="F26" i="8"/>
  <c r="H18" i="8"/>
  <c r="N311" i="8"/>
  <c r="N292" i="8"/>
  <c r="J44" i="8"/>
  <c r="F25" i="8"/>
  <c r="M28" i="8"/>
  <c r="O21" i="8"/>
  <c r="M19" i="8"/>
  <c r="N21" i="8"/>
  <c r="N316" i="8"/>
  <c r="J31" i="8"/>
  <c r="F23" i="8"/>
  <c r="N83" i="8"/>
  <c r="J41" i="8"/>
  <c r="F17" i="8"/>
  <c r="O23" i="8"/>
  <c r="N23" i="8" s="1"/>
  <c r="O22" i="8"/>
  <c r="N330" i="8"/>
  <c r="J43" i="8"/>
  <c r="N38" i="8"/>
  <c r="N22" i="8"/>
  <c r="N91" i="8"/>
  <c r="M22" i="8"/>
  <c r="O13" i="8"/>
  <c r="I66" i="8"/>
  <c r="F131" i="8"/>
  <c r="F184" i="8"/>
  <c r="F243" i="8"/>
  <c r="F150" i="8"/>
  <c r="N358" i="8"/>
  <c r="N88" i="8"/>
  <c r="H180" i="8"/>
  <c r="M128" i="8"/>
  <c r="O300" i="8"/>
  <c r="M114" i="8"/>
  <c r="N307" i="8"/>
  <c r="F264" i="8"/>
  <c r="N329" i="8"/>
  <c r="H59" i="8"/>
  <c r="M350" i="8"/>
  <c r="F274" i="8"/>
  <c r="H117" i="8"/>
  <c r="O180" i="8"/>
  <c r="O167" i="8"/>
  <c r="O134" i="8"/>
  <c r="N134" i="8" s="1"/>
  <c r="N168" i="8"/>
  <c r="M268" i="8"/>
  <c r="M276" i="8"/>
  <c r="O111" i="8"/>
  <c r="N46" i="8"/>
  <c r="F40" i="8"/>
  <c r="O361" i="8"/>
  <c r="O68" i="8"/>
  <c r="F160" i="8"/>
  <c r="H294" i="8"/>
  <c r="F183" i="8"/>
  <c r="M255" i="8"/>
  <c r="H267" i="8"/>
  <c r="I15" i="8"/>
  <c r="F293" i="8"/>
  <c r="O75" i="8"/>
  <c r="N75" i="8" s="1"/>
  <c r="H107" i="8"/>
  <c r="O170" i="8"/>
  <c r="N170" i="8" s="1"/>
  <c r="M101" i="8"/>
  <c r="M279" i="8"/>
  <c r="H227" i="8"/>
  <c r="F194" i="8"/>
  <c r="H178" i="8"/>
  <c r="O185" i="8"/>
  <c r="N271" i="8"/>
  <c r="H179" i="8"/>
  <c r="O71" i="8"/>
  <c r="F162" i="8"/>
  <c r="O310" i="8"/>
  <c r="N310" i="8" s="1"/>
  <c r="N279" i="8"/>
  <c r="I61" i="8"/>
  <c r="H338" i="8"/>
  <c r="O248" i="8"/>
  <c r="F205" i="8"/>
  <c r="O363" i="8"/>
  <c r="F101" i="8"/>
  <c r="H152" i="8"/>
  <c r="N43" i="8"/>
  <c r="O285" i="8"/>
  <c r="H141" i="8"/>
  <c r="O229" i="8"/>
  <c r="H297" i="8"/>
  <c r="H360" i="8"/>
  <c r="N58" i="8"/>
  <c r="N47" i="8"/>
  <c r="N337" i="8"/>
  <c r="N59" i="8"/>
  <c r="M108" i="8"/>
  <c r="M88" i="8"/>
  <c r="M338" i="8"/>
  <c r="H184" i="8"/>
  <c r="O246" i="8"/>
  <c r="F149" i="8"/>
  <c r="O215" i="8"/>
  <c r="M102" i="8"/>
  <c r="M180" i="8"/>
  <c r="N254" i="8"/>
  <c r="O98" i="8"/>
  <c r="N98" i="8" s="1"/>
  <c r="M129" i="8"/>
  <c r="M149" i="8"/>
  <c r="O245" i="8"/>
  <c r="O142" i="8"/>
  <c r="M171" i="8"/>
  <c r="F280" i="8"/>
  <c r="N338" i="8"/>
  <c r="O110" i="8"/>
  <c r="O105" i="8"/>
  <c r="N105" i="8" s="1"/>
  <c r="F141" i="8"/>
  <c r="F41" i="8"/>
  <c r="F352" i="8"/>
  <c r="H291" i="8"/>
  <c r="N348" i="8"/>
  <c r="F37" i="8"/>
  <c r="F56" i="8"/>
  <c r="M142" i="8"/>
  <c r="O313" i="8"/>
  <c r="N232" i="8"/>
  <c r="M33" i="8"/>
  <c r="N342" i="8"/>
  <c r="I19" i="8"/>
  <c r="H332" i="8"/>
  <c r="O122" i="8"/>
  <c r="O101" i="8"/>
  <c r="M328" i="8"/>
  <c r="H99" i="8"/>
  <c r="O211" i="8"/>
  <c r="N211" i="8" s="1"/>
  <c r="O251" i="8"/>
  <c r="M174" i="8"/>
  <c r="M71" i="8"/>
  <c r="H45" i="8"/>
  <c r="M311" i="8"/>
  <c r="O34" i="8"/>
  <c r="M117" i="8"/>
  <c r="H33" i="8"/>
  <c r="M229" i="8"/>
  <c r="M47" i="8"/>
  <c r="F55" i="8"/>
  <c r="F244" i="8"/>
  <c r="N319" i="8"/>
  <c r="H243" i="8"/>
  <c r="F65" i="8"/>
  <c r="O86" i="8"/>
  <c r="N86" i="8" s="1"/>
  <c r="N363" i="8"/>
  <c r="N305" i="8"/>
  <c r="N331" i="8"/>
  <c r="N239" i="8"/>
  <c r="M52" i="8"/>
  <c r="H62" i="8"/>
  <c r="O144" i="8"/>
  <c r="H76" i="8"/>
  <c r="M309" i="8"/>
  <c r="O146" i="8"/>
  <c r="M127" i="8"/>
  <c r="O218" i="8"/>
  <c r="I142" i="8"/>
  <c r="M270" i="8"/>
  <c r="F362" i="8"/>
  <c r="H313" i="8"/>
  <c r="O287" i="8"/>
  <c r="O357" i="8"/>
  <c r="H359" i="8"/>
  <c r="N206" i="8"/>
  <c r="F177" i="8"/>
  <c r="O249" i="8"/>
  <c r="M138" i="8"/>
  <c r="M73" i="8"/>
  <c r="H146" i="8"/>
  <c r="M332" i="8"/>
  <c r="N51" i="8"/>
  <c r="M99" i="8"/>
  <c r="M340" i="8"/>
  <c r="F335" i="8"/>
  <c r="M90" i="8"/>
  <c r="F192" i="8"/>
  <c r="N334" i="8"/>
  <c r="I166" i="8"/>
  <c r="H221" i="8"/>
  <c r="O160" i="8"/>
  <c r="F52" i="8"/>
  <c r="M252" i="8"/>
  <c r="O262" i="8"/>
  <c r="M125" i="8"/>
  <c r="F98" i="8"/>
  <c r="O156" i="8"/>
  <c r="F122" i="8"/>
  <c r="H201" i="8"/>
  <c r="H86" i="8"/>
  <c r="N72" i="8"/>
  <c r="F158" i="8"/>
  <c r="F298" i="8"/>
  <c r="H229" i="8"/>
  <c r="F224" i="8"/>
  <c r="H279" i="8"/>
  <c r="O266" i="8"/>
  <c r="O32" i="8"/>
  <c r="N32" i="8" s="1"/>
  <c r="H170" i="8"/>
  <c r="H343" i="8"/>
  <c r="H354" i="8"/>
  <c r="O40" i="8"/>
  <c r="N40" i="8" s="1"/>
  <c r="N263" i="8"/>
  <c r="F142" i="8"/>
  <c r="N357" i="8"/>
  <c r="N233" i="8"/>
  <c r="J54" i="8"/>
  <c r="N187" i="8"/>
  <c r="N290" i="8"/>
  <c r="J25" i="8"/>
  <c r="F22" i="8"/>
  <c r="N218" i="8"/>
  <c r="O19" i="8"/>
  <c r="N12" i="8"/>
  <c r="N34" i="8"/>
  <c r="F13" i="8"/>
  <c r="N343" i="8"/>
  <c r="M20" i="8"/>
  <c r="M13" i="8"/>
  <c r="H23" i="8"/>
  <c r="J34" i="8"/>
  <c r="O25" i="8"/>
  <c r="H27" i="8"/>
  <c r="N89" i="8"/>
  <c r="H11" i="8"/>
  <c r="H19" i="8"/>
  <c r="H28" i="8"/>
  <c r="M21" i="8"/>
  <c r="H22" i="8"/>
  <c r="N19" i="8"/>
  <c r="I57" i="8"/>
  <c r="H158" i="8"/>
  <c r="H30" i="8"/>
  <c r="F155" i="8"/>
  <c r="F261" i="8"/>
  <c r="I65" i="8"/>
  <c r="M67" i="8"/>
  <c r="O344" i="8"/>
  <c r="O153" i="8"/>
  <c r="N153" i="8" s="1"/>
  <c r="F322" i="8"/>
  <c r="H38" i="8"/>
  <c r="O349" i="8"/>
  <c r="F292" i="8"/>
  <c r="M119" i="8"/>
  <c r="N237" i="8"/>
  <c r="N54" i="8"/>
  <c r="H104" i="8"/>
  <c r="F309" i="8"/>
  <c r="O193" i="8"/>
  <c r="N193" i="8" s="1"/>
  <c r="O308" i="8"/>
  <c r="F245" i="8"/>
  <c r="N173" i="8"/>
  <c r="I22" i="8"/>
  <c r="F356" i="8"/>
  <c r="O309" i="8"/>
  <c r="M124" i="8"/>
  <c r="F91" i="8"/>
  <c r="M325" i="8"/>
  <c r="H118" i="8"/>
  <c r="F128" i="8"/>
  <c r="F308" i="8"/>
  <c r="O33" i="8"/>
  <c r="O92" i="8"/>
  <c r="M30" i="8"/>
  <c r="N308" i="8"/>
  <c r="H153" i="8"/>
  <c r="F319" i="8"/>
  <c r="M184" i="8"/>
  <c r="H266" i="8"/>
  <c r="F342" i="8"/>
  <c r="M253" i="8"/>
  <c r="O102" i="8"/>
  <c r="H173" i="8"/>
  <c r="H353" i="8"/>
  <c r="O31" i="8"/>
  <c r="N31" i="8" s="1"/>
  <c r="M301" i="8"/>
  <c r="O356" i="8"/>
  <c r="N356" i="8" s="1"/>
  <c r="O82" i="8"/>
  <c r="N90" i="8"/>
  <c r="N304" i="8"/>
  <c r="H95" i="8"/>
  <c r="I131" i="8"/>
  <c r="M147" i="8"/>
  <c r="I55" i="8"/>
  <c r="F175" i="8"/>
  <c r="O174" i="8"/>
  <c r="H292" i="8"/>
  <c r="M283" i="8"/>
  <c r="F174" i="8"/>
  <c r="M362" i="8"/>
  <c r="H113" i="8"/>
  <c r="O208" i="8"/>
  <c r="I52" i="8"/>
  <c r="H100" i="8"/>
  <c r="M223" i="8"/>
  <c r="M290" i="8"/>
  <c r="H103" i="8"/>
  <c r="M291" i="8"/>
  <c r="H130" i="8"/>
  <c r="N172" i="8"/>
  <c r="M275" i="8"/>
  <c r="O61" i="8"/>
  <c r="O321" i="8"/>
  <c r="F103" i="8"/>
  <c r="O317" i="8"/>
  <c r="N317" i="8" s="1"/>
  <c r="O325" i="8"/>
  <c r="N142" i="8"/>
  <c r="M305" i="8"/>
  <c r="F265" i="8"/>
  <c r="F95" i="8"/>
  <c r="M267" i="8"/>
  <c r="F216" i="8"/>
  <c r="O260" i="8"/>
  <c r="O37" i="8"/>
  <c r="N37" i="8" s="1"/>
  <c r="M16" i="8"/>
  <c r="F302" i="8"/>
  <c r="F100" i="8"/>
  <c r="O126" i="8"/>
  <c r="H110" i="8"/>
  <c r="M353" i="8"/>
  <c r="H286" i="8"/>
  <c r="O66" i="8"/>
  <c r="N332" i="8"/>
  <c r="H319" i="8"/>
  <c r="O78" i="8"/>
  <c r="N303" i="8"/>
  <c r="M342" i="8"/>
  <c r="O282" i="8"/>
  <c r="N152" i="8"/>
  <c r="F167" i="8"/>
  <c r="H169" i="8"/>
  <c r="H79" i="8"/>
  <c r="F179" i="8"/>
  <c r="N215" i="8"/>
  <c r="M226" i="8"/>
  <c r="O264" i="8"/>
  <c r="F169" i="8"/>
  <c r="F30" i="8"/>
  <c r="N136" i="8"/>
  <c r="H119" i="8"/>
  <c r="N353" i="8"/>
  <c r="M74" i="8"/>
  <c r="F348" i="8"/>
  <c r="O283" i="8"/>
  <c r="N283" i="8" s="1"/>
  <c r="M292" i="8"/>
  <c r="F53" i="8"/>
  <c r="N259" i="8"/>
  <c r="F317" i="8"/>
  <c r="M237" i="8"/>
  <c r="H341" i="8"/>
  <c r="M274" i="8"/>
  <c r="O121" i="8"/>
  <c r="O161" i="8"/>
  <c r="M315" i="8"/>
  <c r="F198" i="8"/>
  <c r="F297" i="8"/>
  <c r="H57" i="8"/>
  <c r="H37" i="8"/>
  <c r="O278" i="8"/>
  <c r="N277" i="8"/>
  <c r="F234" i="8"/>
  <c r="H232" i="8"/>
  <c r="M158" i="8"/>
  <c r="H299" i="8"/>
  <c r="N288" i="8"/>
  <c r="F204" i="8"/>
  <c r="M132" i="8"/>
  <c r="F321" i="8"/>
  <c r="N241" i="8"/>
  <c r="N335" i="8"/>
  <c r="N146" i="8"/>
  <c r="O94" i="8"/>
  <c r="N94" i="8" s="1"/>
  <c r="I96" i="8"/>
  <c r="O181" i="8"/>
  <c r="H71" i="8"/>
  <c r="H263" i="8"/>
  <c r="M69" i="8"/>
  <c r="F125" i="8"/>
  <c r="H167" i="8"/>
  <c r="H274" i="8"/>
  <c r="O306" i="8"/>
  <c r="H260" i="8"/>
  <c r="M118" i="8"/>
  <c r="O169" i="8"/>
  <c r="N169" i="8" s="1"/>
  <c r="M314" i="8"/>
  <c r="N64" i="8"/>
  <c r="H281" i="8"/>
  <c r="H214" i="8"/>
  <c r="O165" i="8"/>
  <c r="N165" i="8" s="1"/>
  <c r="F295" i="8"/>
  <c r="N289" i="8"/>
  <c r="O191" i="8"/>
  <c r="M78" i="8"/>
  <c r="H339" i="8"/>
  <c r="H316" i="8"/>
  <c r="N265" i="8"/>
  <c r="F136" i="8"/>
  <c r="N352" i="8"/>
  <c r="N92" i="8"/>
  <c r="N264" i="8"/>
  <c r="N313" i="8"/>
  <c r="N185" i="8"/>
  <c r="N15" i="8"/>
  <c r="J56" i="8"/>
  <c r="O11" i="8"/>
  <c r="N11" i="8" s="1"/>
  <c r="H21" i="8"/>
  <c r="M26" i="8"/>
  <c r="O26" i="8"/>
  <c r="O24" i="8"/>
  <c r="N24" i="8" s="1"/>
  <c r="N36" i="8"/>
  <c r="H10" i="8"/>
  <c r="N111" i="8"/>
  <c r="N44" i="8"/>
  <c r="J24" i="8"/>
  <c r="O27" i="8"/>
  <c r="N27" i="8" s="1"/>
  <c r="N33" i="8"/>
  <c r="N113" i="8"/>
  <c r="H17" i="8"/>
  <c r="N285" i="8"/>
  <c r="N269" i="8"/>
  <c r="N207" i="8"/>
  <c r="J28" i="8"/>
  <c r="N93" i="8"/>
  <c r="N39" i="8"/>
  <c r="M23" i="8"/>
  <c r="M24" i="8"/>
  <c r="N16" i="8"/>
  <c r="H26" i="8"/>
  <c r="O18" i="8"/>
  <c r="N250" i="8"/>
  <c r="N221" i="8"/>
  <c r="N61" i="8"/>
  <c r="J45" i="8"/>
  <c r="N18" i="8"/>
  <c r="N13" i="8"/>
  <c r="H64" i="8"/>
  <c r="M198" i="8"/>
  <c r="F132" i="8"/>
  <c r="F172" i="8"/>
  <c r="M349" i="8"/>
  <c r="F303" i="8"/>
  <c r="N340" i="8"/>
  <c r="O204" i="8"/>
  <c r="N109" i="8"/>
  <c r="M345" i="8"/>
  <c r="H350" i="8"/>
  <c r="H197" i="8"/>
  <c r="H362" i="8"/>
  <c r="M177" i="8"/>
  <c r="N201" i="8"/>
  <c r="M244" i="8"/>
  <c r="H208" i="8"/>
  <c r="F236" i="8"/>
  <c r="M58" i="8"/>
  <c r="O52" i="8"/>
  <c r="N52" i="8" s="1"/>
  <c r="H160" i="8"/>
  <c r="M156" i="8"/>
  <c r="O67" i="8"/>
  <c r="O327" i="8"/>
  <c r="N327" i="8" s="1"/>
  <c r="M133" i="8"/>
  <c r="N339" i="8"/>
  <c r="H251" i="8"/>
  <c r="N255" i="8"/>
  <c r="O190" i="8"/>
  <c r="F75" i="8"/>
  <c r="F271" i="8"/>
  <c r="H83" i="8"/>
  <c r="M337" i="8"/>
  <c r="O238" i="8"/>
  <c r="N238" i="8" s="1"/>
  <c r="N116" i="8"/>
  <c r="F345" i="8"/>
  <c r="N234" i="8"/>
  <c r="H191" i="8"/>
  <c r="H136" i="8"/>
  <c r="M123" i="8"/>
  <c r="O210" i="8"/>
  <c r="N210" i="8" s="1"/>
  <c r="H205" i="8"/>
  <c r="M159" i="8"/>
  <c r="M323" i="8"/>
  <c r="O157" i="8"/>
  <c r="O151" i="8"/>
  <c r="M221" i="8"/>
  <c r="M213" i="8"/>
  <c r="O320" i="8"/>
  <c r="N320" i="8" s="1"/>
  <c r="F191" i="8"/>
  <c r="F92" i="8"/>
  <c r="N213" i="8"/>
  <c r="N204" i="8"/>
  <c r="F14" i="8"/>
  <c r="H24" i="8"/>
  <c r="N333" i="8"/>
  <c r="F18" i="8"/>
  <c r="N300" i="8"/>
  <c r="O28" i="8"/>
  <c r="M14" i="8"/>
  <c r="N186" i="8"/>
  <c r="N129" i="8"/>
  <c r="N26" i="8"/>
  <c r="N25" i="8"/>
  <c r="N76" i="8"/>
  <c r="J50" i="8"/>
  <c r="N62" i="8"/>
  <c r="H239" i="8"/>
  <c r="I148" i="8"/>
  <c r="M317" i="8"/>
  <c r="N228" i="8"/>
  <c r="J19" i="8"/>
  <c r="F28" i="8"/>
  <c r="N260" i="8"/>
  <c r="N324" i="8"/>
  <c r="H261" i="8"/>
  <c r="O135" i="8"/>
  <c r="H342" i="8"/>
  <c r="H166" i="8"/>
  <c r="F208" i="8"/>
  <c r="O73" i="8"/>
  <c r="O65" i="8"/>
  <c r="N65" i="8" s="1"/>
  <c r="N117" i="8"/>
  <c r="O322" i="8"/>
  <c r="F113" i="8"/>
  <c r="H326" i="8"/>
  <c r="N128" i="8"/>
  <c r="M359" i="8"/>
  <c r="H109" i="8"/>
  <c r="N274" i="8"/>
  <c r="N118" i="8"/>
  <c r="N236" i="8"/>
  <c r="N66" i="8"/>
  <c r="N197" i="8"/>
  <c r="O17" i="8"/>
  <c r="N17" i="8" s="1"/>
  <c r="N71" i="8"/>
  <c r="N107" i="8"/>
  <c r="M11" i="8"/>
  <c r="J22" i="8"/>
  <c r="N171" i="8"/>
  <c r="H25" i="8"/>
  <c r="F21" i="8"/>
  <c r="N14" i="8"/>
  <c r="N82" i="8"/>
  <c r="N354" i="8"/>
  <c r="M233" i="8"/>
  <c r="M167" i="8"/>
  <c r="N68" i="8"/>
  <c r="M27" i="8"/>
  <c r="N191" i="8"/>
  <c r="O20" i="8"/>
  <c r="N20" i="8" s="1"/>
  <c r="N248" i="8"/>
  <c r="H302" i="8"/>
  <c r="O53" i="8"/>
  <c r="N53" i="8" s="1"/>
  <c r="O41" i="8"/>
  <c r="M287" i="8"/>
  <c r="N49" i="8"/>
  <c r="N95" i="8"/>
  <c r="M196" i="8"/>
  <c r="O35" i="8"/>
  <c r="N35" i="8" s="1"/>
  <c r="O139" i="8"/>
  <c r="N139" i="8" s="1"/>
  <c r="F320" i="8"/>
  <c r="N349" i="8"/>
  <c r="H254" i="8"/>
  <c r="N112" i="8"/>
  <c r="F283" i="8"/>
  <c r="M32" i="8"/>
  <c r="J55" i="8"/>
  <c r="N276" i="8"/>
  <c r="N272" i="8"/>
  <c r="J23" i="8"/>
  <c r="O10" i="8"/>
  <c r="N30" i="8"/>
  <c r="M282" i="8"/>
  <c r="F316" i="8"/>
  <c r="H285" i="8"/>
  <c r="N344" i="8"/>
  <c r="F253" i="8"/>
  <c r="O149" i="8"/>
  <c r="N149" i="8" s="1"/>
  <c r="N123" i="8"/>
  <c r="M17" i="8"/>
  <c r="J11" i="8"/>
  <c r="N28" i="8"/>
  <c r="N306" i="8"/>
  <c r="N41" i="8"/>
  <c r="N245" i="8"/>
  <c r="N355" i="8"/>
  <c r="N261" i="8"/>
  <c r="J14" i="8"/>
  <c r="J30" i="8"/>
  <c r="N190" i="8"/>
  <c r="N176" i="8"/>
  <c r="N87" i="8"/>
  <c r="N156" i="8"/>
  <c r="J51" i="8"/>
  <c r="N133" i="8"/>
  <c r="N258" i="8"/>
  <c r="N155" i="8"/>
  <c r="J12" i="8"/>
  <c r="J48" i="8"/>
  <c r="N364" i="8"/>
  <c r="N125" i="8"/>
  <c r="N361" i="8"/>
  <c r="N29" i="8"/>
  <c r="N282" i="8"/>
  <c r="N262" i="8"/>
  <c r="N360" i="8"/>
  <c r="J52" i="8"/>
  <c r="N50" i="8"/>
  <c r="N45" i="8"/>
  <c r="N203" i="8"/>
  <c r="J16" i="8"/>
  <c r="N229" i="8"/>
  <c r="N267" i="8"/>
  <c r="J47" i="8"/>
  <c r="N178" i="8"/>
  <c r="N216" i="8"/>
  <c r="N131" i="8"/>
  <c r="N101" i="8"/>
  <c r="N120" i="8"/>
  <c r="N181" i="8"/>
  <c r="N189" i="8"/>
  <c r="N314" i="8"/>
  <c r="N291" i="8"/>
  <c r="N151" i="8"/>
  <c r="N102" i="8"/>
  <c r="J42" i="8"/>
  <c r="N266" i="8"/>
  <c r="J53" i="8"/>
  <c r="N322" i="8"/>
  <c r="N312" i="8"/>
  <c r="N194" i="8"/>
  <c r="N350" i="8"/>
  <c r="N124" i="8"/>
  <c r="N196" i="8"/>
  <c r="N137" i="8"/>
  <c r="N10" i="8"/>
  <c r="N4" i="8" l="1"/>
  <c r="K285" i="8"/>
  <c r="L285" i="8" s="1"/>
  <c r="O4" i="8"/>
  <c r="K254" i="8"/>
  <c r="L254" i="8" s="1"/>
  <c r="K302" i="8"/>
  <c r="L302" i="8" s="1"/>
  <c r="K25" i="8"/>
  <c r="L25" i="8" s="1"/>
  <c r="K326" i="8"/>
  <c r="L326" i="8" s="1"/>
  <c r="K342" i="8"/>
  <c r="L342" i="8" s="1"/>
  <c r="K261" i="8"/>
  <c r="L261" i="8" s="1"/>
  <c r="J148" i="8"/>
  <c r="K148" i="8" s="1"/>
  <c r="L148" i="8" s="1"/>
  <c r="K239" i="8"/>
  <c r="L239" i="8" s="1"/>
  <c r="K24" i="8"/>
  <c r="L24" i="8" s="1"/>
  <c r="K205" i="8"/>
  <c r="L205" i="8" s="1"/>
  <c r="K191" i="8"/>
  <c r="L191" i="8" s="1"/>
  <c r="K251" i="8"/>
  <c r="L251" i="8" s="1"/>
  <c r="K208" i="8"/>
  <c r="L208" i="8" s="1"/>
  <c r="K362" i="8"/>
  <c r="L362" i="8" s="1"/>
  <c r="K197" i="8"/>
  <c r="L197" i="8" s="1"/>
  <c r="K350" i="8"/>
  <c r="L350" i="8" s="1"/>
  <c r="K26" i="8"/>
  <c r="L26" i="8" s="1"/>
  <c r="K17" i="8"/>
  <c r="L17" i="8" s="1"/>
  <c r="H4" i="8"/>
  <c r="K10" i="8"/>
  <c r="K21" i="8"/>
  <c r="L21" i="8" s="1"/>
  <c r="K316" i="8"/>
  <c r="L316" i="8" s="1"/>
  <c r="K339" i="8"/>
  <c r="L339" i="8" s="1"/>
  <c r="K214" i="8"/>
  <c r="L214" i="8" s="1"/>
  <c r="K281" i="8"/>
  <c r="L281" i="8" s="1"/>
  <c r="K260" i="8"/>
  <c r="L260" i="8" s="1"/>
  <c r="K274" i="8"/>
  <c r="L274" i="8" s="1"/>
  <c r="K167" i="8"/>
  <c r="L167" i="8" s="1"/>
  <c r="K263" i="8"/>
  <c r="L263" i="8" s="1"/>
  <c r="J96" i="8"/>
  <c r="K299" i="8"/>
  <c r="L299" i="8" s="1"/>
  <c r="K232" i="8"/>
  <c r="L232" i="8" s="1"/>
  <c r="K341" i="8"/>
  <c r="L341" i="8" s="1"/>
  <c r="K169" i="8"/>
  <c r="L169" i="8" s="1"/>
  <c r="K319" i="8"/>
  <c r="L319" i="8" s="1"/>
  <c r="K286" i="8"/>
  <c r="L286" i="8" s="1"/>
  <c r="K292" i="8"/>
  <c r="L292" i="8" s="1"/>
  <c r="J131" i="8"/>
  <c r="K353" i="8"/>
  <c r="L353" i="8" s="1"/>
  <c r="K173" i="8"/>
  <c r="L173" i="8" s="1"/>
  <c r="K266" i="8"/>
  <c r="L266" i="8" s="1"/>
  <c r="J65" i="8"/>
  <c r="K65" i="8" s="1"/>
  <c r="L65" i="8" s="1"/>
  <c r="K30" i="8"/>
  <c r="L30" i="8" s="1"/>
  <c r="J57" i="8"/>
  <c r="K57" i="8" s="1"/>
  <c r="L57" i="8" s="1"/>
  <c r="K22" i="8"/>
  <c r="L22" i="8" s="1"/>
  <c r="K28" i="8"/>
  <c r="L28" i="8" s="1"/>
  <c r="K19" i="8"/>
  <c r="L19" i="8" s="1"/>
  <c r="K11" i="8"/>
  <c r="L11" i="8" s="1"/>
  <c r="K27" i="8"/>
  <c r="L27" i="8" s="1"/>
  <c r="K23" i="8"/>
  <c r="L23" i="8" s="1"/>
  <c r="K354" i="8"/>
  <c r="L354" i="8" s="1"/>
  <c r="K343" i="8"/>
  <c r="L343" i="8" s="1"/>
  <c r="K170" i="8"/>
  <c r="L170" i="8" s="1"/>
  <c r="K279" i="8"/>
  <c r="L279" i="8" s="1"/>
  <c r="K229" i="8"/>
  <c r="L229" i="8" s="1"/>
  <c r="K201" i="8"/>
  <c r="L201" i="8" s="1"/>
  <c r="K221" i="8"/>
  <c r="L221" i="8" s="1"/>
  <c r="J166" i="8"/>
  <c r="K166" i="8" s="1"/>
  <c r="L166" i="8" s="1"/>
  <c r="K359" i="8"/>
  <c r="L359" i="8" s="1"/>
  <c r="K313" i="8"/>
  <c r="L313" i="8" s="1"/>
  <c r="J142" i="8"/>
  <c r="K142" i="8" s="1"/>
  <c r="L142" i="8" s="1"/>
  <c r="K243" i="8"/>
  <c r="L243" i="8" s="1"/>
  <c r="K33" i="8"/>
  <c r="L33" i="8" s="1"/>
  <c r="K45" i="8"/>
  <c r="L45" i="8" s="1"/>
  <c r="K332" i="8"/>
  <c r="L332" i="8" s="1"/>
  <c r="K291" i="8"/>
  <c r="L291" i="8" s="1"/>
  <c r="K184" i="8"/>
  <c r="L184" i="8" s="1"/>
  <c r="K360" i="8"/>
  <c r="L360" i="8" s="1"/>
  <c r="K297" i="8"/>
  <c r="L297" i="8" s="1"/>
  <c r="K338" i="8"/>
  <c r="L338" i="8" s="1"/>
  <c r="J61" i="8"/>
  <c r="K179" i="8"/>
  <c r="L179" i="8" s="1"/>
  <c r="K178" i="8"/>
  <c r="L178" i="8" s="1"/>
  <c r="K227" i="8"/>
  <c r="L227" i="8" s="1"/>
  <c r="K267" i="8"/>
  <c r="L267" i="8" s="1"/>
  <c r="K294" i="8"/>
  <c r="L294" i="8" s="1"/>
  <c r="K180" i="8"/>
  <c r="L180" i="8" s="1"/>
  <c r="J66" i="8"/>
  <c r="K66" i="8" s="1"/>
  <c r="L66" i="8" s="1"/>
  <c r="K18" i="8"/>
  <c r="L18" i="8" s="1"/>
  <c r="K13" i="8"/>
  <c r="L13" i="8" s="1"/>
  <c r="K20" i="8"/>
  <c r="L20" i="8" s="1"/>
  <c r="M4" i="8"/>
  <c r="K14" i="8"/>
  <c r="L14" i="8" s="1"/>
  <c r="K265" i="8"/>
  <c r="L265" i="8" s="1"/>
  <c r="K273" i="8"/>
  <c r="L273" i="8" s="1"/>
  <c r="K245" i="8"/>
  <c r="L245" i="8" s="1"/>
  <c r="K230" i="8"/>
  <c r="L230" i="8" s="1"/>
  <c r="K225" i="8"/>
  <c r="L225" i="8" s="1"/>
  <c r="K356" i="8"/>
  <c r="L356" i="8" s="1"/>
  <c r="K244" i="8"/>
  <c r="L244" i="8" s="1"/>
  <c r="K247" i="8"/>
  <c r="L247" i="8" s="1"/>
  <c r="K175" i="8"/>
  <c r="L175" i="8" s="1"/>
  <c r="K235" i="8"/>
  <c r="L235" i="8" s="1"/>
  <c r="K276" i="8"/>
  <c r="L276" i="8" s="1"/>
  <c r="K337" i="8"/>
  <c r="L337" i="8" s="1"/>
  <c r="K289" i="8"/>
  <c r="L289" i="8" s="1"/>
  <c r="K335" i="8"/>
  <c r="L335" i="8" s="1"/>
  <c r="K219" i="8"/>
  <c r="L219" i="8" s="1"/>
  <c r="K36" i="8"/>
  <c r="L36" i="8" s="1"/>
  <c r="K233" i="8"/>
  <c r="L233" i="8" s="1"/>
  <c r="F4" i="8"/>
  <c r="K189" i="8"/>
  <c r="L189" i="8" s="1"/>
  <c r="K306" i="8"/>
  <c r="L306" i="8" s="1"/>
  <c r="K364" i="8"/>
  <c r="L364" i="8" s="1"/>
  <c r="K44" i="8"/>
  <c r="L44" i="8" s="1"/>
  <c r="K31" i="8"/>
  <c r="L31" i="8" s="1"/>
  <c r="K172" i="8"/>
  <c r="L172" i="8" s="1"/>
  <c r="K275" i="8"/>
  <c r="L275" i="8" s="1"/>
  <c r="J119" i="8"/>
  <c r="K119" i="8" s="1"/>
  <c r="L119" i="8" s="1"/>
  <c r="K258" i="8"/>
  <c r="L258" i="8" s="1"/>
  <c r="K43" i="8"/>
  <c r="L43" i="8" s="1"/>
  <c r="K301" i="8"/>
  <c r="L301" i="8" s="1"/>
  <c r="K55" i="8"/>
  <c r="L55" i="8" s="1"/>
  <c r="J110" i="8"/>
  <c r="K110" i="8" s="1"/>
  <c r="L110" i="8" s="1"/>
  <c r="K262" i="8"/>
  <c r="L262" i="8" s="1"/>
  <c r="K190" i="8"/>
  <c r="L190" i="8" s="1"/>
  <c r="K171" i="8"/>
  <c r="L171" i="8" s="1"/>
  <c r="K304" i="8"/>
  <c r="L304" i="8" s="1"/>
  <c r="K249" i="8"/>
  <c r="L249" i="8" s="1"/>
  <c r="K213" i="8"/>
  <c r="L213" i="8" s="1"/>
  <c r="K308" i="8"/>
  <c r="L308" i="8" s="1"/>
  <c r="K340" i="8"/>
  <c r="L340" i="8" s="1"/>
  <c r="K203" i="8"/>
  <c r="L203" i="8" s="1"/>
  <c r="K314" i="8"/>
  <c r="L314" i="8" s="1"/>
  <c r="J134" i="8"/>
  <c r="K134" i="8" s="1"/>
  <c r="L134" i="8" s="1"/>
  <c r="K334" i="8"/>
  <c r="L334" i="8" s="1"/>
  <c r="K352" i="8"/>
  <c r="L352" i="8" s="1"/>
  <c r="K329" i="8"/>
  <c r="L329" i="8" s="1"/>
  <c r="K255" i="8"/>
  <c r="L255" i="8" s="1"/>
  <c r="K35" i="8"/>
  <c r="L35" i="8" s="1"/>
  <c r="K278" i="8"/>
  <c r="L278" i="8" s="1"/>
  <c r="K264" i="8"/>
  <c r="L264" i="8" s="1"/>
  <c r="K345" i="8"/>
  <c r="L345" i="8" s="1"/>
  <c r="K199" i="8"/>
  <c r="L199" i="8" s="1"/>
  <c r="K349" i="8"/>
  <c r="L349" i="8" s="1"/>
  <c r="K50" i="8"/>
  <c r="L50" i="8" s="1"/>
  <c r="K209" i="8"/>
  <c r="L209" i="8" s="1"/>
  <c r="K315" i="8"/>
  <c r="L315" i="8" s="1"/>
  <c r="K47" i="8"/>
  <c r="L47" i="8" s="1"/>
  <c r="K298" i="8"/>
  <c r="L298" i="8" s="1"/>
  <c r="K195" i="8"/>
  <c r="L195" i="8" s="1"/>
  <c r="J160" i="8"/>
  <c r="K160" i="8" s="1"/>
  <c r="L160" i="8" s="1"/>
  <c r="K284" i="8"/>
  <c r="L284" i="8" s="1"/>
  <c r="J91" i="8"/>
  <c r="K91" i="8" s="1"/>
  <c r="L91" i="8" s="1"/>
  <c r="J123" i="8"/>
  <c r="K123" i="8" s="1"/>
  <c r="L123" i="8" s="1"/>
  <c r="K330" i="8"/>
  <c r="L330" i="8" s="1"/>
  <c r="K168" i="8"/>
  <c r="L168" i="8" s="1"/>
  <c r="K309" i="8"/>
  <c r="L309" i="8" s="1"/>
  <c r="K259" i="8"/>
  <c r="L259" i="8" s="1"/>
  <c r="K39" i="8"/>
  <c r="L39" i="8" s="1"/>
  <c r="K238" i="8"/>
  <c r="L238" i="8" s="1"/>
  <c r="K226" i="8"/>
  <c r="L226" i="8" s="1"/>
  <c r="K300" i="8"/>
  <c r="L300" i="8" s="1"/>
  <c r="K282" i="8"/>
  <c r="L282" i="8" s="1"/>
  <c r="K288" i="8"/>
  <c r="L288" i="8" s="1"/>
  <c r="K305" i="8"/>
  <c r="L305" i="8" s="1"/>
  <c r="K42" i="8"/>
  <c r="L42" i="8" s="1"/>
  <c r="J152" i="8"/>
  <c r="K152" i="8" s="1"/>
  <c r="L152" i="8" s="1"/>
  <c r="K204" i="8"/>
  <c r="L204" i="8" s="1"/>
  <c r="K270" i="8"/>
  <c r="L270" i="8" s="1"/>
  <c r="K320" i="8"/>
  <c r="L320" i="8" s="1"/>
  <c r="K323" i="8"/>
  <c r="L323" i="8" s="1"/>
  <c r="K344" i="8"/>
  <c r="L344" i="8" s="1"/>
  <c r="K228" i="8"/>
  <c r="L228" i="8" s="1"/>
  <c r="K194" i="8"/>
  <c r="L194" i="8" s="1"/>
  <c r="K210" i="8"/>
  <c r="L210" i="8" s="1"/>
  <c r="K188" i="8"/>
  <c r="L188" i="8" s="1"/>
  <c r="K256" i="8"/>
  <c r="L256" i="8" s="1"/>
  <c r="J107" i="8"/>
  <c r="K107" i="8" s="1"/>
  <c r="L107" i="8" s="1"/>
  <c r="K237" i="8"/>
  <c r="L237" i="8" s="1"/>
  <c r="K331" i="8"/>
  <c r="L331" i="8" s="1"/>
  <c r="K183" i="8"/>
  <c r="L183" i="8" s="1"/>
  <c r="J85" i="8"/>
  <c r="K85" i="8" s="1"/>
  <c r="L85" i="8" s="1"/>
  <c r="K40" i="8"/>
  <c r="L40" i="8" s="1"/>
  <c r="K317" i="8"/>
  <c r="L317" i="8" s="1"/>
  <c r="K207" i="8"/>
  <c r="L207" i="8" s="1"/>
  <c r="K182" i="8"/>
  <c r="L182" i="8" s="1"/>
  <c r="J125" i="8"/>
  <c r="K125" i="8" s="1"/>
  <c r="L125" i="8" s="1"/>
  <c r="K327" i="8"/>
  <c r="L327" i="8" s="1"/>
  <c r="J62" i="8"/>
  <c r="K62" i="8" s="1"/>
  <c r="L62" i="8" s="1"/>
  <c r="J105" i="8"/>
  <c r="K105" i="8" s="1"/>
  <c r="L105" i="8" s="1"/>
  <c r="K174" i="8"/>
  <c r="L174" i="8" s="1"/>
  <c r="K325" i="8"/>
  <c r="L325" i="8" s="1"/>
  <c r="K211" i="8"/>
  <c r="L211" i="8" s="1"/>
  <c r="J95" i="8"/>
  <c r="K95" i="8" s="1"/>
  <c r="L95" i="8" s="1"/>
  <c r="J104" i="8"/>
  <c r="K104" i="8" s="1"/>
  <c r="L104" i="8" s="1"/>
  <c r="K324" i="8"/>
  <c r="L324" i="8" s="1"/>
  <c r="K363" i="8"/>
  <c r="L363" i="8" s="1"/>
  <c r="K310" i="8"/>
  <c r="L310" i="8" s="1"/>
  <c r="K234" i="8"/>
  <c r="L234" i="8" s="1"/>
  <c r="K224" i="8"/>
  <c r="L224" i="8" s="1"/>
  <c r="J113" i="8"/>
  <c r="K113" i="8" s="1"/>
  <c r="L113" i="8" s="1"/>
  <c r="K202" i="8"/>
  <c r="L202" i="8" s="1"/>
  <c r="K186" i="8"/>
  <c r="L186" i="8" s="1"/>
  <c r="J60" i="8"/>
  <c r="K60" i="8" s="1"/>
  <c r="L60" i="8" s="1"/>
  <c r="K187" i="8"/>
  <c r="L187" i="8" s="1"/>
  <c r="K322" i="8"/>
  <c r="L322" i="8" s="1"/>
  <c r="J92" i="8"/>
  <c r="K92" i="8" s="1"/>
  <c r="L92" i="8" s="1"/>
  <c r="J155" i="8"/>
  <c r="K155" i="8" s="1"/>
  <c r="L155" i="8" s="1"/>
  <c r="J165" i="8"/>
  <c r="K165" i="8" s="1"/>
  <c r="L165" i="8" s="1"/>
  <c r="J120" i="8"/>
  <c r="K120" i="8" s="1"/>
  <c r="L120" i="8" s="1"/>
  <c r="J70" i="8"/>
  <c r="K70" i="8" s="1"/>
  <c r="L70" i="8" s="1"/>
  <c r="J126" i="8"/>
  <c r="K126" i="8" s="1"/>
  <c r="L126" i="8" s="1"/>
  <c r="J124" i="8"/>
  <c r="K124" i="8" s="1"/>
  <c r="L124" i="8" s="1"/>
  <c r="K196" i="8"/>
  <c r="L196" i="8" s="1"/>
  <c r="J94" i="8"/>
  <c r="K94" i="8" s="1"/>
  <c r="L94" i="8" s="1"/>
  <c r="J138" i="8"/>
  <c r="K138" i="8" s="1"/>
  <c r="L138" i="8" s="1"/>
  <c r="K346" i="8"/>
  <c r="L346" i="8" s="1"/>
  <c r="K348" i="8"/>
  <c r="L348" i="8" s="1"/>
  <c r="K280" i="8"/>
  <c r="L280" i="8" s="1"/>
  <c r="K215" i="8"/>
  <c r="L215" i="8" s="1"/>
  <c r="K307" i="8"/>
  <c r="L307" i="8" s="1"/>
  <c r="K176" i="8"/>
  <c r="L176" i="8" s="1"/>
  <c r="K223" i="8"/>
  <c r="L223" i="8" s="1"/>
  <c r="K303" i="8"/>
  <c r="L303" i="8" s="1"/>
  <c r="K347" i="8"/>
  <c r="L347" i="8" s="1"/>
  <c r="K355" i="8"/>
  <c r="L355" i="8" s="1"/>
  <c r="K206" i="8"/>
  <c r="L206" i="8" s="1"/>
  <c r="K41" i="8"/>
  <c r="L41" i="8" s="1"/>
  <c r="K34" i="8"/>
  <c r="L34" i="8" s="1"/>
  <c r="J89" i="8"/>
  <c r="K89" i="8" s="1"/>
  <c r="L89" i="8" s="1"/>
  <c r="J151" i="8"/>
  <c r="J86" i="8"/>
  <c r="K86" i="8" s="1"/>
  <c r="L86" i="8" s="1"/>
  <c r="J77" i="8"/>
  <c r="K77" i="8" s="1"/>
  <c r="L77" i="8" s="1"/>
  <c r="J141" i="8"/>
  <c r="K141" i="8" s="1"/>
  <c r="L141" i="8" s="1"/>
  <c r="K328" i="8"/>
  <c r="L328" i="8" s="1"/>
  <c r="J122" i="8"/>
  <c r="K122" i="8" s="1"/>
  <c r="L122" i="8" s="1"/>
  <c r="K53" i="8"/>
  <c r="L53" i="8" s="1"/>
  <c r="K321" i="8"/>
  <c r="L321" i="8" s="1"/>
  <c r="J72" i="8"/>
  <c r="K72" i="8" s="1"/>
  <c r="L72" i="8" s="1"/>
  <c r="K131" i="8"/>
  <c r="L131" i="8" s="1"/>
  <c r="K46" i="8"/>
  <c r="L46" i="8" s="1"/>
  <c r="K333" i="8"/>
  <c r="L333" i="8" s="1"/>
  <c r="K272" i="8"/>
  <c r="L272" i="8" s="1"/>
  <c r="K268" i="8"/>
  <c r="L268" i="8" s="1"/>
  <c r="J82" i="8"/>
  <c r="K82" i="8" s="1"/>
  <c r="L82" i="8" s="1"/>
  <c r="J145" i="8"/>
  <c r="K145" i="8" s="1"/>
  <c r="L145" i="8" s="1"/>
  <c r="K218" i="8"/>
  <c r="L218" i="8" s="1"/>
  <c r="K216" i="8"/>
  <c r="L216" i="8" s="1"/>
  <c r="K290" i="8"/>
  <c r="L290" i="8" s="1"/>
  <c r="K61" i="8"/>
  <c r="L61" i="8" s="1"/>
  <c r="K54" i="8"/>
  <c r="L54" i="8" s="1"/>
  <c r="K192" i="8"/>
  <c r="L192" i="8" s="1"/>
  <c r="J135" i="8"/>
  <c r="K135" i="8" s="1"/>
  <c r="L135" i="8" s="1"/>
  <c r="J149" i="8"/>
  <c r="K149" i="8" s="1"/>
  <c r="L149" i="8" s="1"/>
  <c r="K250" i="8"/>
  <c r="L250" i="8" s="1"/>
  <c r="J63" i="8"/>
  <c r="K63" i="8" s="1"/>
  <c r="L63" i="8" s="1"/>
  <c r="J133" i="8"/>
  <c r="K133" i="8" s="1"/>
  <c r="L133" i="8" s="1"/>
  <c r="J140" i="8"/>
  <c r="K140" i="8" s="1"/>
  <c r="L140" i="8" s="1"/>
  <c r="K271" i="8"/>
  <c r="L271" i="8" s="1"/>
  <c r="K336" i="8"/>
  <c r="L336" i="8" s="1"/>
  <c r="K56" i="8"/>
  <c r="L56" i="8" s="1"/>
  <c r="K185" i="8"/>
  <c r="L185" i="8" s="1"/>
  <c r="K293" i="8"/>
  <c r="L293" i="8" s="1"/>
  <c r="K52" i="8"/>
  <c r="L52" i="8" s="1"/>
  <c r="K51" i="8"/>
  <c r="L51" i="8" s="1"/>
  <c r="J75" i="8"/>
  <c r="K75" i="8" s="1"/>
  <c r="L75" i="8" s="1"/>
  <c r="J108" i="8"/>
  <c r="K108" i="8" s="1"/>
  <c r="L108" i="8" s="1"/>
  <c r="J162" i="8"/>
  <c r="K162" i="8" s="1"/>
  <c r="L162" i="8" s="1"/>
  <c r="J71" i="8"/>
  <c r="K71" i="8" s="1"/>
  <c r="L71" i="8" s="1"/>
  <c r="J64" i="8"/>
  <c r="K64" i="8" s="1"/>
  <c r="L64" i="8" s="1"/>
  <c r="K200" i="8"/>
  <c r="L200" i="8" s="1"/>
  <c r="K151" i="8"/>
  <c r="L151" i="8" s="1"/>
  <c r="K311" i="8"/>
  <c r="L311" i="8" s="1"/>
  <c r="K248" i="8"/>
  <c r="L248" i="8" s="1"/>
  <c r="J139" i="8"/>
  <c r="K139" i="8" s="1"/>
  <c r="L139" i="8" s="1"/>
  <c r="J157" i="8"/>
  <c r="J147" i="8"/>
  <c r="K147" i="8" s="1"/>
  <c r="L147" i="8" s="1"/>
  <c r="K16" i="8"/>
  <c r="L16" i="8" s="1"/>
  <c r="J153" i="8"/>
  <c r="K153" i="8" s="1"/>
  <c r="L153" i="8" s="1"/>
  <c r="J100" i="8"/>
  <c r="K100" i="8" s="1"/>
  <c r="L100" i="8" s="1"/>
  <c r="J102" i="8"/>
  <c r="K102" i="8" s="1"/>
  <c r="L102" i="8" s="1"/>
  <c r="J136" i="8"/>
  <c r="K136" i="8" s="1"/>
  <c r="L136" i="8" s="1"/>
  <c r="K296" i="8"/>
  <c r="L296" i="8" s="1"/>
  <c r="K193" i="8"/>
  <c r="L193" i="8" s="1"/>
  <c r="J114" i="8"/>
  <c r="K114" i="8" s="1"/>
  <c r="L114" i="8" s="1"/>
  <c r="J130" i="8"/>
  <c r="K130" i="8" s="1"/>
  <c r="L130" i="8" s="1"/>
  <c r="J87" i="8"/>
  <c r="K87" i="8" s="1"/>
  <c r="L87" i="8" s="1"/>
  <c r="J164" i="8"/>
  <c r="K164" i="8" s="1"/>
  <c r="L164" i="8" s="1"/>
  <c r="K252" i="8"/>
  <c r="L252" i="8" s="1"/>
  <c r="K49" i="8"/>
  <c r="L49" i="8" s="1"/>
  <c r="J98" i="8"/>
  <c r="K98" i="8" s="1"/>
  <c r="L98" i="8" s="1"/>
  <c r="J97" i="8"/>
  <c r="K97" i="8" s="1"/>
  <c r="L97" i="8" s="1"/>
  <c r="J144" i="8"/>
  <c r="K144" i="8" s="1"/>
  <c r="L144" i="8" s="1"/>
  <c r="J58" i="8"/>
  <c r="K58" i="8" s="1"/>
  <c r="L58" i="8" s="1"/>
  <c r="J137" i="8"/>
  <c r="K137" i="8" s="1"/>
  <c r="L137" i="8" s="1"/>
  <c r="J163" i="8"/>
  <c r="K163" i="8" s="1"/>
  <c r="L163" i="8" s="1"/>
  <c r="J69" i="8"/>
  <c r="K69" i="8" s="1"/>
  <c r="L69" i="8" s="1"/>
  <c r="J74" i="8"/>
  <c r="K74" i="8" s="1"/>
  <c r="L74" i="8" s="1"/>
  <c r="K32" i="8"/>
  <c r="L32" i="8" s="1"/>
  <c r="K361" i="8"/>
  <c r="L361" i="8" s="1"/>
  <c r="K246" i="8"/>
  <c r="L246" i="8" s="1"/>
  <c r="K242" i="8"/>
  <c r="L242" i="8" s="1"/>
  <c r="K48" i="8"/>
  <c r="L48" i="8" s="1"/>
  <c r="K351" i="8"/>
  <c r="L351" i="8" s="1"/>
  <c r="K358" i="8"/>
  <c r="L358" i="8" s="1"/>
  <c r="K177" i="8"/>
  <c r="L177" i="8" s="1"/>
  <c r="K240" i="8"/>
  <c r="L240" i="8" s="1"/>
  <c r="J115" i="8"/>
  <c r="J59" i="8"/>
  <c r="K59" i="8" s="1"/>
  <c r="L59" i="8" s="1"/>
  <c r="J84" i="8"/>
  <c r="K84" i="8" s="1"/>
  <c r="L84" i="8" s="1"/>
  <c r="J79" i="8"/>
  <c r="K79" i="8" s="1"/>
  <c r="L79" i="8" s="1"/>
  <c r="J154" i="8"/>
  <c r="K154" i="8" s="1"/>
  <c r="L154" i="8" s="1"/>
  <c r="K283" i="8"/>
  <c r="L283" i="8" s="1"/>
  <c r="J159" i="8"/>
  <c r="K159" i="8" s="1"/>
  <c r="L159" i="8" s="1"/>
  <c r="J132" i="8"/>
  <c r="K132" i="8" s="1"/>
  <c r="L132" i="8" s="1"/>
  <c r="J127" i="8"/>
  <c r="K127" i="8" s="1"/>
  <c r="L127" i="8" s="1"/>
  <c r="J156" i="8"/>
  <c r="K156" i="8" s="1"/>
  <c r="L156" i="8" s="1"/>
  <c r="J67" i="8"/>
  <c r="K67" i="8" s="1"/>
  <c r="L67" i="8" s="1"/>
  <c r="K29" i="8"/>
  <c r="L29" i="8" s="1"/>
  <c r="K257" i="8"/>
  <c r="L257" i="8" s="1"/>
  <c r="J121" i="8"/>
  <c r="K121" i="8" s="1"/>
  <c r="L121" i="8" s="1"/>
  <c r="J83" i="8"/>
  <c r="K83" i="8" s="1"/>
  <c r="L83" i="8" s="1"/>
  <c r="K12" i="8"/>
  <c r="L12" i="8" s="1"/>
  <c r="J109" i="8"/>
  <c r="K109" i="8" s="1"/>
  <c r="L109" i="8" s="1"/>
  <c r="J76" i="8"/>
  <c r="K76" i="8" s="1"/>
  <c r="L76" i="8" s="1"/>
  <c r="J73" i="8"/>
  <c r="K73" i="8" s="1"/>
  <c r="L73" i="8" s="1"/>
  <c r="I4" i="8"/>
  <c r="J99" i="8"/>
  <c r="K99" i="8" s="1"/>
  <c r="L99" i="8" s="1"/>
  <c r="J106" i="8"/>
  <c r="K106" i="8" s="1"/>
  <c r="L106" i="8" s="1"/>
  <c r="K269" i="8"/>
  <c r="L269" i="8" s="1"/>
  <c r="K287" i="8"/>
  <c r="L287" i="8" s="1"/>
  <c r="K212" i="8"/>
  <c r="L212" i="8" s="1"/>
  <c r="K277" i="8"/>
  <c r="L277" i="8" s="1"/>
  <c r="K198" i="8"/>
  <c r="L198" i="8" s="1"/>
  <c r="K357" i="8"/>
  <c r="L357" i="8" s="1"/>
  <c r="K222" i="8"/>
  <c r="L222" i="8" s="1"/>
  <c r="K157" i="8"/>
  <c r="L157" i="8" s="1"/>
  <c r="K220" i="8"/>
  <c r="L220" i="8" s="1"/>
  <c r="K295" i="8"/>
  <c r="L295" i="8" s="1"/>
  <c r="K181" i="8"/>
  <c r="L181" i="8" s="1"/>
  <c r="J112" i="8"/>
  <c r="K112" i="8" s="1"/>
  <c r="L112" i="8" s="1"/>
  <c r="K312" i="8"/>
  <c r="L312" i="8" s="1"/>
  <c r="K96" i="8"/>
  <c r="L96" i="8" s="1"/>
  <c r="K236" i="8"/>
  <c r="L236" i="8" s="1"/>
  <c r="J93" i="8"/>
  <c r="K93" i="8" s="1"/>
  <c r="L93" i="8" s="1"/>
  <c r="J129" i="8"/>
  <c r="K129" i="8" s="1"/>
  <c r="L129" i="8" s="1"/>
  <c r="J90" i="8"/>
  <c r="K90" i="8" s="1"/>
  <c r="L90" i="8" s="1"/>
  <c r="J146" i="8"/>
  <c r="K146" i="8" s="1"/>
  <c r="L146" i="8" s="1"/>
  <c r="K253" i="8"/>
  <c r="L253" i="8" s="1"/>
  <c r="K318" i="8"/>
  <c r="L318" i="8" s="1"/>
  <c r="K217" i="8"/>
  <c r="L217" i="8" s="1"/>
  <c r="K115" i="8"/>
  <c r="L115" i="8" s="1"/>
  <c r="J150" i="8"/>
  <c r="K150" i="8" s="1"/>
  <c r="L150" i="8" s="1"/>
  <c r="J80" i="8"/>
  <c r="K80" i="8" s="1"/>
  <c r="L80" i="8" s="1"/>
  <c r="J81" i="8"/>
  <c r="K81" i="8" s="1"/>
  <c r="L81" i="8" s="1"/>
  <c r="J158" i="8"/>
  <c r="K158" i="8" s="1"/>
  <c r="L158" i="8" s="1"/>
  <c r="J68" i="8"/>
  <c r="K68" i="8" s="1"/>
  <c r="L68" i="8" s="1"/>
  <c r="J101" i="8"/>
  <c r="K101" i="8" s="1"/>
  <c r="L101" i="8" s="1"/>
  <c r="K231" i="8"/>
  <c r="L231" i="8" s="1"/>
  <c r="K241" i="8"/>
  <c r="L241" i="8" s="1"/>
  <c r="J111" i="8"/>
  <c r="K111" i="8" s="1"/>
  <c r="L111" i="8" s="1"/>
  <c r="J78" i="8"/>
  <c r="K78" i="8" s="1"/>
  <c r="L78" i="8" s="1"/>
  <c r="J117" i="8"/>
  <c r="K117" i="8" s="1"/>
  <c r="L117" i="8" s="1"/>
  <c r="J88" i="8"/>
  <c r="K88" i="8" s="1"/>
  <c r="L88" i="8" s="1"/>
  <c r="J128" i="8"/>
  <c r="K128" i="8" s="1"/>
  <c r="L128" i="8" s="1"/>
  <c r="J161" i="8"/>
  <c r="K161" i="8" s="1"/>
  <c r="L161" i="8" s="1"/>
  <c r="J143" i="8"/>
  <c r="K143" i="8" s="1"/>
  <c r="L143" i="8" s="1"/>
  <c r="J103" i="8"/>
  <c r="K103" i="8" s="1"/>
  <c r="L103" i="8" s="1"/>
  <c r="J118" i="8"/>
  <c r="K118" i="8" s="1"/>
  <c r="L118" i="8" s="1"/>
  <c r="J116" i="8"/>
  <c r="K116" i="8" s="1"/>
  <c r="L116" i="8" s="1"/>
  <c r="N126" i="8"/>
  <c r="N160" i="8"/>
  <c r="N144" i="8"/>
  <c r="N251" i="8"/>
  <c r="N110" i="8"/>
  <c r="N100" i="8"/>
  <c r="N222" i="8"/>
  <c r="J37" i="8"/>
  <c r="N135" i="8"/>
  <c r="N161" i="8"/>
  <c r="N78" i="8"/>
  <c r="N325" i="8"/>
  <c r="N287" i="8"/>
  <c r="N122" i="8"/>
  <c r="N246" i="8"/>
  <c r="N167" i="8"/>
  <c r="N347" i="8"/>
  <c r="N63" i="8"/>
  <c r="J38" i="8"/>
  <c r="N157" i="8"/>
  <c r="N67" i="8"/>
  <c r="N121" i="8"/>
  <c r="N321" i="8"/>
  <c r="N174" i="8"/>
  <c r="J15" i="8"/>
  <c r="N180" i="8"/>
  <c r="N114" i="8"/>
  <c r="N60" i="8"/>
  <c r="N280" i="8"/>
  <c r="N145" i="8"/>
  <c r="N73" i="8"/>
  <c r="N278" i="8"/>
  <c r="N208" i="8"/>
  <c r="N309" i="8"/>
  <c r="N249" i="8"/>
  <c r="N80" i="8"/>
  <c r="K15" i="8" l="1"/>
  <c r="L15" i="8" s="1"/>
  <c r="J4" i="8"/>
  <c r="K38" i="8"/>
  <c r="L38" i="8" s="1"/>
  <c r="K37" i="8"/>
  <c r="L37" i="8" s="1"/>
  <c r="L10" i="8"/>
  <c r="K4" i="8"/>
  <c r="L4" i="8"/>
</calcChain>
</file>

<file path=xl/sharedStrings.xml><?xml version="1.0" encoding="utf-8"?>
<sst xmlns="http://schemas.openxmlformats.org/spreadsheetml/2006/main" count="113" uniqueCount="92">
  <si>
    <t>TOTAIS</t>
  </si>
  <si>
    <t>Colaborador</t>
  </si>
  <si>
    <t>Salário Bruto</t>
  </si>
  <si>
    <t>INSS</t>
  </si>
  <si>
    <t>IRPF</t>
  </si>
  <si>
    <t>Descontos totais</t>
  </si>
  <si>
    <t>Salário líquido</t>
  </si>
  <si>
    <t>13°</t>
  </si>
  <si>
    <t>FÉRIAS</t>
  </si>
  <si>
    <t>Prop. 1/3 férias</t>
  </si>
  <si>
    <t>Guimarães Rosa</t>
  </si>
  <si>
    <t>Machado de Assis</t>
  </si>
  <si>
    <t>Cecília Meireles</t>
  </si>
  <si>
    <t>Monteiro Lobato</t>
  </si>
  <si>
    <t>CÁLCULO INSS</t>
  </si>
  <si>
    <t xml:space="preserve">CÁLCULO IRPF </t>
  </si>
  <si>
    <t>Mínimo</t>
  </si>
  <si>
    <t>Alíquota</t>
  </si>
  <si>
    <t>Parcela a deduzir</t>
  </si>
  <si>
    <t>Alíquotas</t>
  </si>
  <si>
    <t>Desconto</t>
  </si>
  <si>
    <t>Máximo</t>
  </si>
  <si>
    <t>João Gilberto</t>
  </si>
  <si>
    <t>Antônio Carlos Jobim</t>
  </si>
  <si>
    <t>Ronaldo Bôscoli</t>
  </si>
  <si>
    <t>Marisa Monte</t>
  </si>
  <si>
    <t>Renato Russo</t>
  </si>
  <si>
    <t>Cassia Rejane Eller</t>
  </si>
  <si>
    <t>José Fernando dos Reis</t>
  </si>
  <si>
    <t>Samuel Rosa</t>
  </si>
  <si>
    <t>Erasmo Carlos</t>
  </si>
  <si>
    <t>Priscila Novaes Leone</t>
  </si>
  <si>
    <t>Gabriel Contino</t>
  </si>
  <si>
    <t>Matrícula</t>
  </si>
  <si>
    <t>Departamento</t>
  </si>
  <si>
    <t>Gerente administrativa</t>
  </si>
  <si>
    <t>Analista de RH</t>
  </si>
  <si>
    <t>Analista Financeira</t>
  </si>
  <si>
    <t>Supervisor Administrativo</t>
  </si>
  <si>
    <t>Recepcionista</t>
  </si>
  <si>
    <t>Assistente Administrativo</t>
  </si>
  <si>
    <t>Assistente de Faturamento</t>
  </si>
  <si>
    <t>Assistente Financeira</t>
  </si>
  <si>
    <t>Assistente de Paralegal</t>
  </si>
  <si>
    <t>Assistente Contábil</t>
  </si>
  <si>
    <t>Analista Contábil</t>
  </si>
  <si>
    <t>Quantidade de Funcionários</t>
  </si>
  <si>
    <t>CONTROLE 2019</t>
  </si>
  <si>
    <t>Hora Extra 60%</t>
  </si>
  <si>
    <t>Atrasos</t>
  </si>
  <si>
    <t>Valor</t>
  </si>
  <si>
    <t>Tempo</t>
  </si>
  <si>
    <t>Instruções de Uso</t>
  </si>
  <si>
    <t>Hora Extra</t>
  </si>
  <si>
    <t>Atraso</t>
  </si>
  <si>
    <t>Djavan Caetano Viana</t>
  </si>
  <si>
    <t>Arnaldo Antunes</t>
  </si>
  <si>
    <t>Analista de Faturamento</t>
  </si>
  <si>
    <t>Adriana Calcanhoto</t>
  </si>
  <si>
    <t>Elis Regina</t>
  </si>
  <si>
    <t>Gerente de faturamento</t>
  </si>
  <si>
    <t>PAULO</t>
  </si>
  <si>
    <t>RH</t>
  </si>
  <si>
    <t>PARTE 1 - MENU OPÇÕES</t>
  </si>
  <si>
    <t>Esse programa serve para manipular os dados da folha de pagamento, tendo as seguintes opções:</t>
  </si>
  <si>
    <t>1- Cadastrar novo colaborador</t>
  </si>
  <si>
    <t>2- Pesquisar informações dos colaboradores</t>
  </si>
  <si>
    <t>3- Editar registros dos colaboradores</t>
  </si>
  <si>
    <t>4- Excluir registros dos colaboradores</t>
  </si>
  <si>
    <t>5-Sair</t>
  </si>
  <si>
    <t>PARTE 2 - CADASTRAR NOVO COLABORADOR</t>
  </si>
  <si>
    <t>Para cadastrar um novo colaborador, faça os seguintes procedimentos:</t>
  </si>
  <si>
    <t>1-Clique no botão: "Abrir Painel de Operações"</t>
  </si>
  <si>
    <t>2-Selecione a opção "1-Inserir novo registro"</t>
  </si>
  <si>
    <t>3-Digite os seguintes dados: CPF,nome,departamento e salário do colaborador.</t>
  </si>
  <si>
    <t>CALCULO DE HORA EXTRA, ATRASO, INSS, IRPF,13º E FÉRIAS</t>
  </si>
  <si>
    <t>1-As fórmulas para calcular proventos e descontos, como os descritos acima já estão na planilha, após inserir um</t>
  </si>
  <si>
    <t>novo registro, basta apenas arrastar a fórmula para obter os valores</t>
  </si>
  <si>
    <t>PARTE 3 - PESQUISA DE COLABORADOR</t>
  </si>
  <si>
    <t>Para pesquisar o cadastro de algum colaborador, faça os seguintes procedimentos:</t>
  </si>
  <si>
    <t>2-Selecione a opção "2-Pesquisar registro"</t>
  </si>
  <si>
    <t>3-Digite o CPF do colaborador</t>
  </si>
  <si>
    <t>PARTE 4 - EDIÇÃO</t>
  </si>
  <si>
    <t>Para editar o cadastro de algum colaborador, faça os seguintes procedimentos:</t>
  </si>
  <si>
    <t>2-Selecione a opção "3-Alterar um registro"</t>
  </si>
  <si>
    <t>3-Digite os dados a serem alterados(CPF, Nome,departamento e salário)</t>
  </si>
  <si>
    <t>PARTE 5 - EXCLUSÃO</t>
  </si>
  <si>
    <t>Para excluir o cadastro de algum colaborador, faça os seguintes procedimentos:</t>
  </si>
  <si>
    <t>2-Selecione a opção "4-Excluir um registro"</t>
  </si>
  <si>
    <t>3-Digite o CPF do colaborador que você deseja excluir</t>
  </si>
  <si>
    <t>PARTE 6 - FIM</t>
  </si>
  <si>
    <t>Após digitar a opção desejada e executa-la,  clique na opção " 5-Sair" para finalizar o programa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</si>
</sst>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&quot;R$&quot;\ #,##0.00"/>
    <numFmt numFmtId="166" formatCode="h:mm;@"/>
    <numFmt numFmtId="167" formatCode="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sz val="12"/>
      <name val="Times New Roman"/>
      <family val="1"/>
    </font>
    <font>
      <b/>
      <sz val="16"/>
      <color theme="0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0"/>
      <name val="Times New Roman"/>
      <family val="1"/>
    </font>
    <font>
      <b/>
      <sz val="11"/>
      <color rgb="FFC00000"/>
      <name val="Times New Roman"/>
      <family val="1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sz val="12"/>
      <color rgb="FFFF0000"/>
      <name val="Times New Roman"/>
      <family val="1"/>
    </font>
    <font>
      <sz val="11"/>
      <name val="Times New Roman"/>
      <family val="1"/>
    </font>
    <font>
      <b/>
      <sz val="18"/>
      <color theme="1"/>
      <name val="Calibri"/>
      <family val="2"/>
      <scheme val="minor"/>
    </font>
    <font>
      <sz val="14"/>
      <color rgb="FF333333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7">
    <xf numFmtId="0" fontId="0" fillId="0" borderId="0" xfId="0"/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165" fontId="5" fillId="3" borderId="4" xfId="0" applyNumberFormat="1" applyFont="1" applyFill="1" applyBorder="1" applyAlignment="1">
      <alignment horizontal="center" vertical="center"/>
    </xf>
    <xf numFmtId="10" fontId="5" fillId="3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center"/>
    </xf>
    <xf numFmtId="165" fontId="4" fillId="4" borderId="0" xfId="0" applyNumberFormat="1" applyFont="1" applyFill="1" applyBorder="1" applyAlignment="1">
      <alignment horizontal="center" vertical="center"/>
    </xf>
    <xf numFmtId="165" fontId="4" fillId="2" borderId="5" xfId="0" applyNumberFormat="1" applyFont="1" applyFill="1" applyBorder="1" applyAlignment="1">
      <alignment horizontal="center"/>
    </xf>
    <xf numFmtId="166" fontId="4" fillId="2" borderId="5" xfId="0" applyNumberFormat="1" applyFont="1" applyFill="1" applyBorder="1" applyAlignment="1">
      <alignment horizontal="center"/>
    </xf>
    <xf numFmtId="0" fontId="7" fillId="3" borderId="0" xfId="0" applyFont="1" applyFill="1"/>
    <xf numFmtId="165" fontId="7" fillId="3" borderId="0" xfId="0" applyNumberFormat="1" applyFont="1" applyFill="1"/>
    <xf numFmtId="0" fontId="8" fillId="3" borderId="0" xfId="0" applyFont="1" applyFill="1"/>
    <xf numFmtId="0" fontId="8" fillId="4" borderId="0" xfId="0" applyFont="1" applyFill="1" applyAlignment="1">
      <alignment horizontal="center" vertical="center"/>
    </xf>
    <xf numFmtId="0" fontId="4" fillId="7" borderId="7" xfId="0" applyNumberFormat="1" applyFont="1" applyFill="1" applyBorder="1" applyAlignment="1">
      <alignment horizontal="center" vertical="center"/>
    </xf>
    <xf numFmtId="0" fontId="8" fillId="3" borderId="0" xfId="0" applyFont="1" applyFill="1" applyBorder="1"/>
    <xf numFmtId="165" fontId="8" fillId="3" borderId="0" xfId="0" applyNumberFormat="1" applyFont="1" applyFill="1" applyBorder="1"/>
    <xf numFmtId="165" fontId="8" fillId="3" borderId="0" xfId="0" applyNumberFormat="1" applyFont="1" applyFill="1"/>
    <xf numFmtId="0" fontId="3" fillId="3" borderId="5" xfId="1" applyNumberFormat="1" applyFont="1" applyFill="1" applyBorder="1"/>
    <xf numFmtId="0" fontId="3" fillId="3" borderId="5" xfId="0" applyFont="1" applyFill="1" applyBorder="1"/>
    <xf numFmtId="165" fontId="3" fillId="3" borderId="5" xfId="0" applyNumberFormat="1" applyFont="1" applyFill="1" applyBorder="1"/>
    <xf numFmtId="0" fontId="3" fillId="3" borderId="0" xfId="0" applyFont="1" applyFill="1"/>
    <xf numFmtId="0" fontId="9" fillId="7" borderId="7" xfId="0" applyNumberFormat="1" applyFont="1" applyFill="1" applyBorder="1" applyAlignment="1">
      <alignment horizontal="center" vertical="center"/>
    </xf>
    <xf numFmtId="165" fontId="9" fillId="7" borderId="7" xfId="0" applyNumberFormat="1" applyFont="1" applyFill="1" applyBorder="1" applyAlignment="1">
      <alignment horizontal="center" vertical="center"/>
    </xf>
    <xf numFmtId="165" fontId="9" fillId="7" borderId="8" xfId="0" applyNumberFormat="1" applyFont="1" applyFill="1" applyBorder="1" applyAlignment="1">
      <alignment horizontal="center" vertical="center"/>
    </xf>
    <xf numFmtId="166" fontId="4" fillId="4" borderId="0" xfId="0" applyNumberFormat="1" applyFont="1" applyFill="1" applyBorder="1" applyAlignment="1">
      <alignment horizontal="right" vertical="center"/>
    </xf>
    <xf numFmtId="166" fontId="9" fillId="7" borderId="7" xfId="0" applyNumberFormat="1" applyFont="1" applyFill="1" applyBorder="1" applyAlignment="1">
      <alignment horizontal="right" vertical="center"/>
    </xf>
    <xf numFmtId="166" fontId="8" fillId="3" borderId="0" xfId="0" applyNumberFormat="1" applyFont="1" applyFill="1" applyBorder="1" applyAlignment="1">
      <alignment horizontal="right"/>
    </xf>
    <xf numFmtId="167" fontId="8" fillId="3" borderId="0" xfId="0" applyNumberFormat="1" applyFont="1" applyFill="1" applyAlignment="1">
      <alignment horizontal="right"/>
    </xf>
    <xf numFmtId="166" fontId="8" fillId="3" borderId="0" xfId="0" applyNumberFormat="1" applyFont="1" applyFill="1" applyAlignment="1">
      <alignment horizontal="right"/>
    </xf>
    <xf numFmtId="166" fontId="3" fillId="3" borderId="5" xfId="0" applyNumberFormat="1" applyFont="1" applyFill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5" fontId="8" fillId="3" borderId="0" xfId="0" applyNumberFormat="1" applyFont="1" applyFill="1" applyAlignment="1">
      <alignment horizontal="right"/>
    </xf>
    <xf numFmtId="0" fontId="10" fillId="3" borderId="0" xfId="0" applyFont="1" applyFill="1"/>
    <xf numFmtId="0" fontId="11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3" fillId="3" borderId="0" xfId="0" applyFont="1" applyFill="1"/>
    <xf numFmtId="0" fontId="14" fillId="0" borderId="0" xfId="0" applyFont="1"/>
    <xf numFmtId="0" fontId="2" fillId="6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066CC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5</xdr:row>
          <xdr:rowOff>0</xdr:rowOff>
        </xdr:from>
        <xdr:to>
          <xdr:col>2</xdr:col>
          <xdr:colOff>342900</xdr:colOff>
          <xdr:row>6</xdr:row>
          <xdr:rowOff>171450</xdr:rowOff>
        </xdr:to>
        <xdr:sp macro="" textlink="">
          <xdr:nvSpPr>
            <xdr:cNvPr id="8193" name="Button 1" descr="Abrir Painel de Operaçõ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Abrir Painel de Operações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FAC92-4FC5-4904-903B-213593DC8641}">
  <sheetPr codeName="Planilha1"/>
  <dimension ref="A1:I40"/>
  <sheetViews>
    <sheetView showGridLines="0" workbookViewId="0">
      <selection activeCell="B12" sqref="B12"/>
    </sheetView>
  </sheetViews>
  <sheetFormatPr defaultColWidth="16.28515625" defaultRowHeight="15" x14ac:dyDescent="0.25"/>
  <cols>
    <col min="1" max="1" width="10.85546875" style="38" customWidth="1"/>
    <col min="2" max="16384" width="16.28515625" style="38"/>
  </cols>
  <sheetData>
    <row r="1" spans="1:9" ht="45.75" x14ac:dyDescent="0.25">
      <c r="A1" s="40" t="s">
        <v>52</v>
      </c>
      <c r="B1" s="40"/>
      <c r="C1" s="40"/>
      <c r="D1" s="40"/>
      <c r="E1" s="40"/>
      <c r="F1" s="40"/>
      <c r="G1" s="40"/>
      <c r="H1" s="40"/>
      <c r="I1" s="40"/>
    </row>
    <row r="3" spans="1:9" ht="23.25" x14ac:dyDescent="0.35">
      <c r="A3" s="39" t="s">
        <v>63</v>
      </c>
    </row>
    <row r="4" spans="1:9" x14ac:dyDescent="0.25">
      <c r="A4" t="s">
        <v>64</v>
      </c>
    </row>
    <row r="5" spans="1:9" x14ac:dyDescent="0.25">
      <c r="A5" t="s">
        <v>65</v>
      </c>
    </row>
    <row r="6" spans="1:9" x14ac:dyDescent="0.25">
      <c r="A6" t="s">
        <v>66</v>
      </c>
    </row>
    <row r="7" spans="1:9" x14ac:dyDescent="0.25">
      <c r="A7" t="s">
        <v>67</v>
      </c>
    </row>
    <row r="8" spans="1:9" x14ac:dyDescent="0.25">
      <c r="A8" t="s">
        <v>68</v>
      </c>
    </row>
    <row r="9" spans="1:9" x14ac:dyDescent="0.25">
      <c r="A9" t="s">
        <v>69</v>
      </c>
    </row>
    <row r="11" spans="1:9" ht="23.25" x14ac:dyDescent="0.35">
      <c r="A11" s="39" t="s">
        <v>70</v>
      </c>
    </row>
    <row r="12" spans="1:9" x14ac:dyDescent="0.25">
      <c r="A12" t="s">
        <v>71</v>
      </c>
    </row>
    <row r="13" spans="1:9" x14ac:dyDescent="0.25">
      <c r="A13" t="s">
        <v>72</v>
      </c>
    </row>
    <row r="14" spans="1:9" x14ac:dyDescent="0.25">
      <c r="A14" t="s">
        <v>73</v>
      </c>
    </row>
    <row r="15" spans="1:9" x14ac:dyDescent="0.25">
      <c r="A15" t="s">
        <v>74</v>
      </c>
    </row>
    <row r="16" spans="1:9" x14ac:dyDescent="0.25">
      <c r="A16"/>
    </row>
    <row r="17" spans="1:1" ht="23.25" x14ac:dyDescent="0.35">
      <c r="A17" s="39" t="s">
        <v>75</v>
      </c>
    </row>
    <row r="18" spans="1:1" x14ac:dyDescent="0.25">
      <c r="A18" t="s">
        <v>76</v>
      </c>
    </row>
    <row r="19" spans="1:1" x14ac:dyDescent="0.25">
      <c r="A19" t="s">
        <v>77</v>
      </c>
    </row>
    <row r="20" spans="1:1" x14ac:dyDescent="0.25">
      <c r="A20"/>
    </row>
    <row r="21" spans="1:1" ht="23.25" x14ac:dyDescent="0.35">
      <c r="A21" s="39" t="s">
        <v>78</v>
      </c>
    </row>
    <row r="22" spans="1:1" x14ac:dyDescent="0.25">
      <c r="A22" t="s">
        <v>79</v>
      </c>
    </row>
    <row r="23" spans="1:1" x14ac:dyDescent="0.25">
      <c r="A23" t="s">
        <v>72</v>
      </c>
    </row>
    <row r="24" spans="1:1" x14ac:dyDescent="0.25">
      <c r="A24" t="s">
        <v>80</v>
      </c>
    </row>
    <row r="25" spans="1:1" x14ac:dyDescent="0.25">
      <c r="A25" t="s">
        <v>81</v>
      </c>
    </row>
    <row r="26" spans="1:1" x14ac:dyDescent="0.25">
      <c r="A26"/>
    </row>
    <row r="27" spans="1:1" ht="23.25" x14ac:dyDescent="0.35">
      <c r="A27" s="39" t="s">
        <v>82</v>
      </c>
    </row>
    <row r="28" spans="1:1" x14ac:dyDescent="0.25">
      <c r="A28" t="s">
        <v>83</v>
      </c>
    </row>
    <row r="29" spans="1:1" x14ac:dyDescent="0.25">
      <c r="A29" t="s">
        <v>72</v>
      </c>
    </row>
    <row r="30" spans="1:1" x14ac:dyDescent="0.25">
      <c r="A30" t="s">
        <v>84</v>
      </c>
    </row>
    <row r="31" spans="1:1" x14ac:dyDescent="0.25">
      <c r="A31" t="s">
        <v>85</v>
      </c>
    </row>
    <row r="32" spans="1:1" x14ac:dyDescent="0.25">
      <c r="A32"/>
    </row>
    <row r="33" spans="1:1" ht="23.25" x14ac:dyDescent="0.35">
      <c r="A33" s="39" t="s">
        <v>86</v>
      </c>
    </row>
    <row r="34" spans="1:1" x14ac:dyDescent="0.25">
      <c r="A34" t="s">
        <v>87</v>
      </c>
    </row>
    <row r="35" spans="1:1" x14ac:dyDescent="0.25">
      <c r="A35" t="s">
        <v>72</v>
      </c>
    </row>
    <row r="36" spans="1:1" x14ac:dyDescent="0.25">
      <c r="A36" t="s">
        <v>88</v>
      </c>
    </row>
    <row r="37" spans="1:1" x14ac:dyDescent="0.25">
      <c r="A37" t="s">
        <v>89</v>
      </c>
    </row>
    <row r="38" spans="1:1" x14ac:dyDescent="0.25">
      <c r="A38"/>
    </row>
    <row r="39" spans="1:1" ht="23.25" x14ac:dyDescent="0.35">
      <c r="A39" s="39" t="s">
        <v>90</v>
      </c>
    </row>
    <row r="40" spans="1:1" x14ac:dyDescent="0.25">
      <c r="A40" t="s">
        <v>91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14"/>
  <sheetViews>
    <sheetView workbookViewId="0">
      <selection activeCell="B15" sqref="B15"/>
    </sheetView>
  </sheetViews>
  <sheetFormatPr defaultRowHeight="15" x14ac:dyDescent="0.25"/>
  <cols>
    <col min="1" max="1" width="15.140625" style="34" customWidth="1"/>
    <col min="2" max="4" width="16.28515625" style="34" customWidth="1"/>
    <col min="5" max="5" width="17" style="34" bestFit="1" customWidth="1"/>
    <col min="6" max="8" width="18.5703125" style="34" customWidth="1"/>
    <col min="9" max="9" width="17" style="34" bestFit="1" customWidth="1"/>
    <col min="10" max="16384" width="9.140625" style="34"/>
  </cols>
  <sheetData>
    <row r="1" spans="1:9" ht="45.75" x14ac:dyDescent="0.25">
      <c r="A1" s="40" t="s">
        <v>19</v>
      </c>
      <c r="B1" s="40"/>
      <c r="C1" s="40"/>
      <c r="D1" s="40"/>
      <c r="E1" s="40"/>
      <c r="F1" s="40"/>
      <c r="G1" s="40"/>
      <c r="H1" s="40"/>
      <c r="I1" s="40"/>
    </row>
    <row r="3" spans="1:9" s="36" customFormat="1" x14ac:dyDescent="0.25">
      <c r="A3" s="41" t="s">
        <v>14</v>
      </c>
      <c r="B3" s="42"/>
      <c r="C3" s="43"/>
      <c r="E3" s="35"/>
      <c r="F3" s="41" t="s">
        <v>15</v>
      </c>
      <c r="G3" s="42"/>
      <c r="H3" s="42"/>
      <c r="I3" s="43"/>
    </row>
    <row r="4" spans="1:9" s="36" customFormat="1" x14ac:dyDescent="0.25">
      <c r="A4" s="1" t="s">
        <v>16</v>
      </c>
      <c r="B4" s="2" t="s">
        <v>21</v>
      </c>
      <c r="C4" s="3" t="s">
        <v>17</v>
      </c>
      <c r="F4" s="1" t="s">
        <v>16</v>
      </c>
      <c r="G4" s="2" t="s">
        <v>21</v>
      </c>
      <c r="H4" s="3" t="s">
        <v>17</v>
      </c>
      <c r="I4" s="3" t="s">
        <v>18</v>
      </c>
    </row>
    <row r="5" spans="1:9" s="36" customFormat="1" ht="15.75" x14ac:dyDescent="0.25">
      <c r="A5" s="4">
        <v>998</v>
      </c>
      <c r="B5" s="4">
        <v>1751.81</v>
      </c>
      <c r="C5" s="5">
        <v>0.08</v>
      </c>
      <c r="E5" s="37"/>
      <c r="F5" s="4">
        <v>998</v>
      </c>
      <c r="G5" s="4">
        <v>1903.98</v>
      </c>
      <c r="H5" s="5">
        <v>0</v>
      </c>
      <c r="I5" s="4">
        <v>0</v>
      </c>
    </row>
    <row r="6" spans="1:9" s="36" customFormat="1" ht="15.75" x14ac:dyDescent="0.25">
      <c r="A6" s="4">
        <v>1751.82</v>
      </c>
      <c r="B6" s="4">
        <v>2919.72</v>
      </c>
      <c r="C6" s="5">
        <v>0.09</v>
      </c>
      <c r="E6" s="37"/>
      <c r="F6" s="4">
        <v>1903.99</v>
      </c>
      <c r="G6" s="4">
        <v>2826.65</v>
      </c>
      <c r="H6" s="5">
        <v>7.4999999999999997E-2</v>
      </c>
      <c r="I6" s="4">
        <v>142.80000000000001</v>
      </c>
    </row>
    <row r="7" spans="1:9" s="36" customFormat="1" ht="15.75" x14ac:dyDescent="0.25">
      <c r="A7" s="4">
        <v>2919.73</v>
      </c>
      <c r="B7" s="4">
        <v>5839.45</v>
      </c>
      <c r="C7" s="5">
        <v>0.11</v>
      </c>
      <c r="E7" s="37"/>
      <c r="F7" s="4">
        <v>2826.66</v>
      </c>
      <c r="G7" s="4">
        <v>3751.05</v>
      </c>
      <c r="H7" s="5">
        <v>0.15</v>
      </c>
      <c r="I7" s="4">
        <v>354.8</v>
      </c>
    </row>
    <row r="8" spans="1:9" s="36" customFormat="1" ht="15.75" x14ac:dyDescent="0.25">
      <c r="B8" s="37"/>
      <c r="C8" s="37"/>
      <c r="D8" s="37"/>
      <c r="E8" s="37"/>
      <c r="F8" s="4">
        <v>3751.06</v>
      </c>
      <c r="G8" s="4">
        <v>4664.68</v>
      </c>
      <c r="H8" s="5">
        <v>0.22500000000000001</v>
      </c>
      <c r="I8" s="4">
        <v>636.13</v>
      </c>
    </row>
    <row r="9" spans="1:9" s="36" customFormat="1" ht="15.75" x14ac:dyDescent="0.25">
      <c r="B9" s="37"/>
      <c r="C9" s="37"/>
      <c r="D9" s="37"/>
      <c r="E9" s="37"/>
      <c r="F9" s="4">
        <v>4664.6899999999996</v>
      </c>
      <c r="G9" s="4">
        <v>100000</v>
      </c>
      <c r="H9" s="5">
        <v>0.27500000000000002</v>
      </c>
      <c r="I9" s="4">
        <v>869.36</v>
      </c>
    </row>
    <row r="11" spans="1:9" s="36" customFormat="1" x14ac:dyDescent="0.25"/>
    <row r="12" spans="1:9" s="36" customFormat="1" x14ac:dyDescent="0.25"/>
    <row r="13" spans="1:9" s="36" customFormat="1" x14ac:dyDescent="0.25"/>
    <row r="14" spans="1:9" s="36" customFormat="1" x14ac:dyDescent="0.25"/>
  </sheetData>
  <mergeCells count="3">
    <mergeCell ref="F3:I3"/>
    <mergeCell ref="A1:I1"/>
    <mergeCell ref="A3:C3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O364"/>
  <sheetViews>
    <sheetView tabSelected="1" zoomScaleNormal="100" workbookViewId="0">
      <pane ySplit="4" topLeftCell="A17" activePane="bottomLeft" state="frozen"/>
      <selection pane="bottomLeft" activeCell="C6" sqref="C6"/>
    </sheetView>
  </sheetViews>
  <sheetFormatPr defaultRowHeight="15" x14ac:dyDescent="0.25"/>
  <cols>
    <col min="1" max="1" width="15.7109375" style="11" customWidth="1"/>
    <col min="2" max="2" width="27.7109375" style="11" bestFit="1" customWidth="1"/>
    <col min="3" max="3" width="23.85546875" style="11" bestFit="1" customWidth="1"/>
    <col min="4" max="4" width="15.7109375" style="11" customWidth="1"/>
    <col min="5" max="5" width="9.28515625" style="32" customWidth="1"/>
    <col min="6" max="6" width="15.7109375" style="12" customWidth="1"/>
    <col min="7" max="7" width="9.28515625" style="32" customWidth="1"/>
    <col min="8" max="8" width="15.7109375" style="12" customWidth="1"/>
    <col min="9" max="15" width="15.7109375" style="11" customWidth="1"/>
    <col min="16" max="16384" width="9.140625" style="11"/>
  </cols>
  <sheetData>
    <row r="1" spans="1:15" s="13" customFormat="1" ht="45.75" x14ac:dyDescent="0.25">
      <c r="A1" s="40" t="s">
        <v>47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s="13" customFormat="1" ht="20.25" x14ac:dyDescent="0.25">
      <c r="A2" s="44" t="s">
        <v>0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15" s="13" customFormat="1" ht="18.75" customHeight="1" x14ac:dyDescent="0.25">
      <c r="A3" s="14"/>
      <c r="B3" s="7" t="s">
        <v>46</v>
      </c>
      <c r="C3" s="7"/>
      <c r="D3" s="7" t="s">
        <v>2</v>
      </c>
      <c r="E3" s="26"/>
      <c r="F3" s="8" t="s">
        <v>53</v>
      </c>
      <c r="G3" s="26"/>
      <c r="H3" s="8" t="s">
        <v>54</v>
      </c>
      <c r="I3" s="7" t="s">
        <v>3</v>
      </c>
      <c r="J3" s="7" t="s">
        <v>4</v>
      </c>
      <c r="K3" s="7" t="s">
        <v>5</v>
      </c>
      <c r="L3" s="7" t="s">
        <v>6</v>
      </c>
      <c r="M3" s="7" t="s">
        <v>7</v>
      </c>
      <c r="N3" s="7" t="s">
        <v>8</v>
      </c>
      <c r="O3" s="7" t="s">
        <v>9</v>
      </c>
    </row>
    <row r="4" spans="1:15" s="13" customFormat="1" x14ac:dyDescent="0.25">
      <c r="A4" s="15"/>
      <c r="B4" s="23">
        <v>20</v>
      </c>
      <c r="C4" s="24"/>
      <c r="D4" s="24">
        <f>SUM(D10:D28)</f>
        <v>87410</v>
      </c>
      <c r="E4" s="27"/>
      <c r="F4" s="24">
        <f>SUM(F10:F47)</f>
        <v>7237.8333333333339</v>
      </c>
      <c r="G4" s="27"/>
      <c r="H4" s="24">
        <f>SUM(H10:H76)</f>
        <v>1189.8958333333333</v>
      </c>
      <c r="I4" s="24">
        <f t="shared" ref="I4:O4" si="0">SUM(I10:I28)</f>
        <v>9206.3000000000011</v>
      </c>
      <c r="J4" s="24">
        <f t="shared" si="0"/>
        <v>19079.25</v>
      </c>
      <c r="K4" s="24">
        <f t="shared" si="0"/>
        <v>29443.438257575755</v>
      </c>
      <c r="L4" s="24">
        <f t="shared" si="0"/>
        <v>65094.092045454534</v>
      </c>
      <c r="M4" s="24">
        <f t="shared" si="0"/>
        <v>87410</v>
      </c>
      <c r="N4" s="24">
        <f t="shared" si="0"/>
        <v>116546.66666666666</v>
      </c>
      <c r="O4" s="25">
        <f t="shared" si="0"/>
        <v>29136.666666666664</v>
      </c>
    </row>
    <row r="5" spans="1:15" s="13" customFormat="1" x14ac:dyDescent="0.25">
      <c r="B5" s="16"/>
      <c r="C5" s="16"/>
      <c r="D5" s="16"/>
      <c r="E5" s="28"/>
      <c r="F5" s="17"/>
      <c r="G5" s="28"/>
      <c r="H5" s="17"/>
      <c r="I5" s="16"/>
      <c r="J5" s="16"/>
      <c r="K5" s="16"/>
      <c r="L5" s="16"/>
      <c r="M5" s="16"/>
      <c r="N5" s="16"/>
      <c r="O5" s="16"/>
    </row>
    <row r="6" spans="1:15" s="13" customFormat="1" x14ac:dyDescent="0.25">
      <c r="E6" s="29"/>
      <c r="F6" s="18"/>
      <c r="G6" s="33"/>
      <c r="H6" s="18"/>
    </row>
    <row r="7" spans="1:15" s="13" customFormat="1" x14ac:dyDescent="0.25">
      <c r="E7" s="30"/>
      <c r="F7" s="18"/>
      <c r="G7" s="30"/>
      <c r="H7" s="18"/>
    </row>
    <row r="8" spans="1:15" s="13" customFormat="1" x14ac:dyDescent="0.25">
      <c r="E8" s="45" t="s">
        <v>48</v>
      </c>
      <c r="F8" s="46"/>
      <c r="G8" s="45" t="s">
        <v>49</v>
      </c>
      <c r="H8" s="46"/>
    </row>
    <row r="9" spans="1:15" s="13" customFormat="1" x14ac:dyDescent="0.25">
      <c r="A9" s="6" t="s">
        <v>33</v>
      </c>
      <c r="B9" s="6" t="s">
        <v>1</v>
      </c>
      <c r="C9" s="6" t="s">
        <v>34</v>
      </c>
      <c r="D9" s="6" t="s">
        <v>2</v>
      </c>
      <c r="E9" s="10" t="s">
        <v>51</v>
      </c>
      <c r="F9" s="9" t="s">
        <v>50</v>
      </c>
      <c r="G9" s="10" t="s">
        <v>51</v>
      </c>
      <c r="H9" s="9" t="s">
        <v>20</v>
      </c>
      <c r="I9" s="6" t="s">
        <v>3</v>
      </c>
      <c r="J9" s="6" t="s">
        <v>4</v>
      </c>
      <c r="K9" s="6" t="s">
        <v>5</v>
      </c>
      <c r="L9" s="6" t="s">
        <v>6</v>
      </c>
      <c r="M9" s="6" t="s">
        <v>7</v>
      </c>
      <c r="N9" s="6" t="s">
        <v>8</v>
      </c>
      <c r="O9" s="6" t="s">
        <v>9</v>
      </c>
    </row>
    <row r="10" spans="1:15" s="22" customFormat="1" x14ac:dyDescent="0.25">
      <c r="A10" s="19">
        <v>12345678900</v>
      </c>
      <c r="B10" s="20" t="s">
        <v>58</v>
      </c>
      <c r="C10" s="20" t="s">
        <v>39</v>
      </c>
      <c r="D10" s="21">
        <v>5120</v>
      </c>
      <c r="E10" s="31">
        <v>5.9027777777777783E-2</v>
      </c>
      <c r="F10" s="21">
        <f>HORA_EXTRA(D10,E10)</f>
        <v>65.939393939393952</v>
      </c>
      <c r="G10" s="31">
        <v>1.2499999999999999E-2</v>
      </c>
      <c r="H10" s="21">
        <f>ATRASO($D10,$G10)</f>
        <v>8.7272727272727266</v>
      </c>
      <c r="I10" s="21">
        <f>INSS($D10,Alíquotas!$C$5,Alíquotas!$C$6,Alíquotas!$C$7)</f>
        <v>563.20000000000005</v>
      </c>
      <c r="J10" s="21">
        <f>IRPF($D10,$I10,Alíquotas!$H$6,Alíquotas!$H$7,Alíquotas!$H$8,Alíquotas!$H$9)</f>
        <v>1152</v>
      </c>
      <c r="K10" s="21">
        <f>SUM(H10+I10+J10)</f>
        <v>1723.9272727272728</v>
      </c>
      <c r="L10" s="21">
        <f t="shared" ref="L10:L28" si="1">D10-K10+F10</f>
        <v>3462.0121212121212</v>
      </c>
      <c r="M10" s="21">
        <f>DECIMO_TERCEIRO($D10)</f>
        <v>5120</v>
      </c>
      <c r="N10" s="21">
        <f t="shared" ref="N10:N29" si="2">FERIAS($O10,$D10)</f>
        <v>6826.666666666667</v>
      </c>
      <c r="O10" s="21">
        <f>PROP_FERIAS($D10)</f>
        <v>1706.6666666666667</v>
      </c>
    </row>
    <row r="11" spans="1:15" s="22" customFormat="1" x14ac:dyDescent="0.25">
      <c r="A11" s="19">
        <v>23456789012</v>
      </c>
      <c r="B11" s="20" t="s">
        <v>23</v>
      </c>
      <c r="C11" s="20" t="s">
        <v>41</v>
      </c>
      <c r="D11" s="21">
        <v>1830</v>
      </c>
      <c r="E11" s="31">
        <v>0.3354166666666667</v>
      </c>
      <c r="F11" s="21">
        <f t="shared" ref="F11:F28" si="3">HORA_EXTRA(D11,E11)</f>
        <v>133.92272727272731</v>
      </c>
      <c r="G11" s="31">
        <v>3.888888888888889E-2</v>
      </c>
      <c r="H11" s="21">
        <f t="shared" ref="H11:H71" si="4">ATRASO($D11,$G11)</f>
        <v>9.704545454545455</v>
      </c>
      <c r="I11" s="21">
        <f>INSS($D11,Alíquotas!$C$5,Alíquotas!$C$6,Alíquotas!$C$7)</f>
        <v>164.7</v>
      </c>
      <c r="J11" s="21">
        <f>IRPF($D11,$I11,Alíquotas!$H$6,Alíquotas!$H$7,Alíquotas!$H$8,Alíquotas!$H$9)</f>
        <v>0</v>
      </c>
      <c r="K11" s="21">
        <f t="shared" ref="K11:K28" si="5">SUM(H11+I11+J11)</f>
        <v>174.40454545454546</v>
      </c>
      <c r="L11" s="21">
        <f t="shared" si="1"/>
        <v>1789.5181818181818</v>
      </c>
      <c r="M11" s="21">
        <f t="shared" ref="M11:M71" si="6">DECIMO_TERCEIRO($D11)</f>
        <v>1830</v>
      </c>
      <c r="N11" s="21">
        <f t="shared" si="2"/>
        <v>2440</v>
      </c>
      <c r="O11" s="21">
        <f t="shared" ref="O11:O71" si="7">PROP_FERIAS($D11)</f>
        <v>610</v>
      </c>
    </row>
    <row r="12" spans="1:15" s="22" customFormat="1" x14ac:dyDescent="0.25">
      <c r="A12" s="19">
        <v>34567890123</v>
      </c>
      <c r="B12" s="20" t="s">
        <v>56</v>
      </c>
      <c r="C12" s="20" t="s">
        <v>57</v>
      </c>
      <c r="D12" s="21">
        <v>6530</v>
      </c>
      <c r="E12" s="31">
        <v>0.12013888888888889</v>
      </c>
      <c r="F12" s="21">
        <f>HORA_EXTRA(D12,E12)</f>
        <v>171.16515151515151</v>
      </c>
      <c r="G12" s="31">
        <v>7.2916666666666671E-2</v>
      </c>
      <c r="H12" s="21">
        <f>ATRASO($D12,$G12)</f>
        <v>64.928977272727266</v>
      </c>
      <c r="I12" s="21">
        <f>INSS($D12,Alíquotas!$C$5,Alíquotas!$C$6,Alíquotas!$C$7)</f>
        <v>718.3</v>
      </c>
      <c r="J12" s="21">
        <f>IRPF($D12,$I12,Alíquotas!$H$6,Alíquotas!$H$7,Alíquotas!$H$8,Alíquotas!$H$9)</f>
        <v>1795.7500000000002</v>
      </c>
      <c r="K12" s="21">
        <f t="shared" si="5"/>
        <v>2578.9789772727272</v>
      </c>
      <c r="L12" s="21">
        <f t="shared" si="1"/>
        <v>4122.1861742424244</v>
      </c>
      <c r="M12" s="21">
        <f>DECIMO_TERCEIRO($D12)</f>
        <v>6530</v>
      </c>
      <c r="N12" s="21">
        <f>FERIAS($O12,$D12)</f>
        <v>8706.6666666666661</v>
      </c>
      <c r="O12" s="21">
        <f>PROP_FERIAS($D12)</f>
        <v>2176.6666666666665</v>
      </c>
    </row>
    <row r="13" spans="1:15" s="22" customFormat="1" x14ac:dyDescent="0.25">
      <c r="A13" s="19">
        <v>45678901234</v>
      </c>
      <c r="B13" s="20" t="s">
        <v>27</v>
      </c>
      <c r="C13" s="20" t="s">
        <v>35</v>
      </c>
      <c r="D13" s="21">
        <v>7900</v>
      </c>
      <c r="E13" s="31">
        <v>0.24722222222222223</v>
      </c>
      <c r="F13" s="21">
        <f t="shared" si="3"/>
        <v>426.12121212121212</v>
      </c>
      <c r="G13" s="31">
        <v>2.5694444444444447E-2</v>
      </c>
      <c r="H13" s="21">
        <f t="shared" si="4"/>
        <v>27.679924242424242</v>
      </c>
      <c r="I13" s="21">
        <f>INSS($D13,Alíquotas!$C$5,Alíquotas!$C$6,Alíquotas!$C$7)</f>
        <v>869</v>
      </c>
      <c r="J13" s="21">
        <f>IRPF($D13,$I13,Alíquotas!$H$6,Alíquotas!$H$7,Alíquotas!$H$8,Alíquotas!$H$9)</f>
        <v>2172.5</v>
      </c>
      <c r="K13" s="21">
        <f t="shared" si="5"/>
        <v>3069.179924242424</v>
      </c>
      <c r="L13" s="21">
        <f t="shared" si="1"/>
        <v>5256.941287878788</v>
      </c>
      <c r="M13" s="21">
        <f t="shared" si="6"/>
        <v>7900</v>
      </c>
      <c r="N13" s="21">
        <f t="shared" si="2"/>
        <v>10533.333333333334</v>
      </c>
      <c r="O13" s="21">
        <f t="shared" si="7"/>
        <v>2633.3333333333335</v>
      </c>
    </row>
    <row r="14" spans="1:15" s="22" customFormat="1" x14ac:dyDescent="0.25">
      <c r="A14" s="19">
        <v>56789012345</v>
      </c>
      <c r="B14" s="20" t="s">
        <v>12</v>
      </c>
      <c r="C14" s="20" t="s">
        <v>36</v>
      </c>
      <c r="D14" s="21">
        <v>6900</v>
      </c>
      <c r="E14" s="31">
        <v>0.15763888888888888</v>
      </c>
      <c r="F14" s="21">
        <f t="shared" si="3"/>
        <v>237.31818181818181</v>
      </c>
      <c r="G14" s="31">
        <v>0.11527777777777777</v>
      </c>
      <c r="H14" s="21">
        <f t="shared" si="4"/>
        <v>108.46590909090908</v>
      </c>
      <c r="I14" s="21">
        <f>INSS($D14,Alíquotas!$C$5,Alíquotas!$C$6,Alíquotas!$C$7)</f>
        <v>759</v>
      </c>
      <c r="J14" s="21">
        <f>IRPF($D14,$I14,Alíquotas!$H$6,Alíquotas!$H$7,Alíquotas!$H$8,Alíquotas!$H$9)</f>
        <v>1897.5000000000002</v>
      </c>
      <c r="K14" s="21">
        <f t="shared" si="5"/>
        <v>2764.9659090909095</v>
      </c>
      <c r="L14" s="21">
        <f t="shared" si="1"/>
        <v>4372.3522727272721</v>
      </c>
      <c r="M14" s="21">
        <f t="shared" si="6"/>
        <v>6900</v>
      </c>
      <c r="N14" s="21">
        <f t="shared" si="2"/>
        <v>9200</v>
      </c>
      <c r="O14" s="21">
        <f t="shared" si="7"/>
        <v>2300</v>
      </c>
    </row>
    <row r="15" spans="1:15" s="22" customFormat="1" x14ac:dyDescent="0.25">
      <c r="A15" s="19">
        <v>67890123456</v>
      </c>
      <c r="B15" s="20" t="s">
        <v>55</v>
      </c>
      <c r="C15" s="20" t="s">
        <v>36</v>
      </c>
      <c r="D15" s="21">
        <v>5890</v>
      </c>
      <c r="E15" s="31">
        <v>0.2902777777777778</v>
      </c>
      <c r="F15" s="21">
        <f>HORA_EXTRA(D15,E15)</f>
        <v>373.03333333333342</v>
      </c>
      <c r="G15" s="31">
        <v>1.4583333333333332E-2</v>
      </c>
      <c r="H15" s="21">
        <f>ATRASO($D15,$G15)</f>
        <v>11.713068181818182</v>
      </c>
      <c r="I15" s="21">
        <f>INSS($D15,Alíquotas!$C$5,Alíquotas!$C$6,Alíquotas!$C$7)</f>
        <v>647.9</v>
      </c>
      <c r="J15" s="21">
        <f>IRPF($D15,$I15,Alíquotas!$H$6,Alíquotas!$H$7,Alíquotas!$H$8,Alíquotas!$H$9)</f>
        <v>1619.7500000000002</v>
      </c>
      <c r="K15" s="21">
        <f t="shared" si="5"/>
        <v>2279.3630681818186</v>
      </c>
      <c r="L15" s="21">
        <f t="shared" si="1"/>
        <v>3983.6702651515147</v>
      </c>
      <c r="M15" s="21">
        <f>DECIMO_TERCEIRO($D15)</f>
        <v>5890</v>
      </c>
      <c r="N15" s="21">
        <f>FERIAS($O15,$D15)</f>
        <v>7853.333333333333</v>
      </c>
      <c r="O15" s="21">
        <f>PROP_FERIAS($D15)</f>
        <v>1963.3333333333333</v>
      </c>
    </row>
    <row r="16" spans="1:15" s="22" customFormat="1" x14ac:dyDescent="0.25">
      <c r="A16" s="19">
        <v>78901234567</v>
      </c>
      <c r="B16" s="20" t="s">
        <v>59</v>
      </c>
      <c r="C16" s="20" t="s">
        <v>60</v>
      </c>
      <c r="D16" s="21">
        <v>7350</v>
      </c>
      <c r="E16" s="31">
        <v>0.8305555555555556</v>
      </c>
      <c r="F16" s="21">
        <f>HORA_EXTRA(D16,E16)</f>
        <v>1331.9090909090908</v>
      </c>
      <c r="G16" s="31">
        <v>3.1944444444444449E-2</v>
      </c>
      <c r="H16" s="21">
        <f>ATRASO($D16,$G16)</f>
        <v>32.01704545454546</v>
      </c>
      <c r="I16" s="21">
        <f>INSS($D16,Alíquotas!$C$5,Alíquotas!$C$6,Alíquotas!$C$7)</f>
        <v>808.5</v>
      </c>
      <c r="J16" s="21">
        <f>IRPF($D16,$I16,Alíquotas!$H$6,Alíquotas!$H$7,Alíquotas!$H$8,Alíquotas!$H$9)</f>
        <v>2021.2500000000002</v>
      </c>
      <c r="K16" s="21">
        <f t="shared" si="5"/>
        <v>2861.767045454546</v>
      </c>
      <c r="L16" s="21">
        <f t="shared" si="1"/>
        <v>5820.142045454545</v>
      </c>
      <c r="M16" s="21">
        <f>DECIMO_TERCEIRO($D16)</f>
        <v>7350</v>
      </c>
      <c r="N16" s="21">
        <f>FERIAS($O16,$D16)</f>
        <v>9800</v>
      </c>
      <c r="O16" s="21">
        <f>PROP_FERIAS($D16)</f>
        <v>2450</v>
      </c>
    </row>
    <row r="17" spans="1:15" s="22" customFormat="1" x14ac:dyDescent="0.25">
      <c r="A17" s="19">
        <v>89012345678</v>
      </c>
      <c r="B17" s="20" t="s">
        <v>30</v>
      </c>
      <c r="C17" s="20" t="s">
        <v>41</v>
      </c>
      <c r="D17" s="21">
        <v>1830</v>
      </c>
      <c r="E17" s="31">
        <v>0.38194444444444442</v>
      </c>
      <c r="F17" s="21">
        <f t="shared" si="3"/>
        <v>152.5</v>
      </c>
      <c r="G17" s="31">
        <v>6.1111111111111116E-2</v>
      </c>
      <c r="H17" s="21">
        <f t="shared" si="4"/>
        <v>15.250000000000002</v>
      </c>
      <c r="I17" s="21">
        <f>INSS($D17,Alíquotas!$C$5,Alíquotas!$C$6,Alíquotas!$C$7)</f>
        <v>164.7</v>
      </c>
      <c r="J17" s="21">
        <f>IRPF($D17,$I17,Alíquotas!$H$6,Alíquotas!$H$7,Alíquotas!$H$8,Alíquotas!$H$9)</f>
        <v>0</v>
      </c>
      <c r="K17" s="21">
        <f t="shared" si="5"/>
        <v>179.95</v>
      </c>
      <c r="L17" s="21">
        <f t="shared" si="1"/>
        <v>1802.55</v>
      </c>
      <c r="M17" s="21">
        <f t="shared" si="6"/>
        <v>1830</v>
      </c>
      <c r="N17" s="21">
        <f t="shared" si="2"/>
        <v>2440</v>
      </c>
      <c r="O17" s="21">
        <f t="shared" si="7"/>
        <v>610</v>
      </c>
    </row>
    <row r="18" spans="1:15" s="22" customFormat="1" x14ac:dyDescent="0.25">
      <c r="A18" s="19">
        <v>90123456789</v>
      </c>
      <c r="B18" s="20" t="s">
        <v>32</v>
      </c>
      <c r="C18" s="20" t="s">
        <v>45</v>
      </c>
      <c r="D18" s="21">
        <v>5840</v>
      </c>
      <c r="E18" s="31">
        <v>0.13680555555555554</v>
      </c>
      <c r="F18" s="21">
        <f t="shared" si="3"/>
        <v>174.31515151515151</v>
      </c>
      <c r="G18" s="31">
        <v>4.0972222222222222E-2</v>
      </c>
      <c r="H18" s="21">
        <f t="shared" si="4"/>
        <v>32.628787878787875</v>
      </c>
      <c r="I18" s="21">
        <f>INSS($D18,Alíquotas!$C$5,Alíquotas!$C$6,Alíquotas!$C$7)</f>
        <v>642.4</v>
      </c>
      <c r="J18" s="21">
        <f>IRPF($D18,$I18,Alíquotas!$H$6,Alíquotas!$H$7,Alíquotas!$H$8,Alíquotas!$H$9)</f>
        <v>1606.0000000000002</v>
      </c>
      <c r="K18" s="21">
        <f t="shared" si="5"/>
        <v>2281.0287878787881</v>
      </c>
      <c r="L18" s="21">
        <f t="shared" si="1"/>
        <v>3733.2863636363636</v>
      </c>
      <c r="M18" s="21">
        <f t="shared" si="6"/>
        <v>5840</v>
      </c>
      <c r="N18" s="21">
        <f t="shared" si="2"/>
        <v>7786.666666666667</v>
      </c>
      <c r="O18" s="21">
        <f t="shared" si="7"/>
        <v>1946.6666666666667</v>
      </c>
    </row>
    <row r="19" spans="1:15" s="22" customFormat="1" x14ac:dyDescent="0.25">
      <c r="A19" s="19">
        <v>98765432109</v>
      </c>
      <c r="B19" s="20" t="s">
        <v>10</v>
      </c>
      <c r="C19" s="20" t="s">
        <v>38</v>
      </c>
      <c r="D19" s="21">
        <v>16680</v>
      </c>
      <c r="E19" s="31">
        <v>0.71388888888888891</v>
      </c>
      <c r="F19" s="21">
        <f t="shared" si="3"/>
        <v>2598.0363636363636</v>
      </c>
      <c r="G19" s="31">
        <v>0.16111111111111112</v>
      </c>
      <c r="H19" s="21">
        <f t="shared" si="4"/>
        <v>366.4545454545455</v>
      </c>
      <c r="I19" s="21">
        <f>INSS($D19,Alíquotas!$C$5,Alíquotas!$C$6,Alíquotas!$C$7)</f>
        <v>1834.8</v>
      </c>
      <c r="J19" s="21">
        <f>IRPF($D19,$I19,Alíquotas!$H$6,Alíquotas!$H$7,Alíquotas!$H$8,Alíquotas!$H$9)</f>
        <v>4587</v>
      </c>
      <c r="K19" s="21">
        <f t="shared" si="5"/>
        <v>6788.2545454545452</v>
      </c>
      <c r="L19" s="21">
        <f t="shared" si="1"/>
        <v>12489.781818181818</v>
      </c>
      <c r="M19" s="21">
        <f t="shared" si="6"/>
        <v>16680</v>
      </c>
      <c r="N19" s="21">
        <f t="shared" si="2"/>
        <v>22240</v>
      </c>
      <c r="O19" s="21">
        <f t="shared" si="7"/>
        <v>5560</v>
      </c>
    </row>
    <row r="20" spans="1:15" s="22" customFormat="1" x14ac:dyDescent="0.25">
      <c r="A20" s="19">
        <v>87654321098</v>
      </c>
      <c r="B20" s="20" t="s">
        <v>22</v>
      </c>
      <c r="C20" s="20" t="s">
        <v>40</v>
      </c>
      <c r="D20" s="21">
        <v>1540</v>
      </c>
      <c r="E20" s="31">
        <v>2.2916666666666669E-2</v>
      </c>
      <c r="F20" s="21">
        <f t="shared" si="3"/>
        <v>7.7000000000000011</v>
      </c>
      <c r="G20" s="31">
        <v>0.20555555555555557</v>
      </c>
      <c r="H20" s="21">
        <f t="shared" si="4"/>
        <v>43.166666666666671</v>
      </c>
      <c r="I20" s="21">
        <f>INSS($D20,Alíquotas!$C$5,Alíquotas!$C$6,Alíquotas!$C$7)</f>
        <v>123.2</v>
      </c>
      <c r="J20" s="21">
        <f>IRPF($D20,$I20,Alíquotas!$H$6,Alíquotas!$H$7,Alíquotas!$H$8,Alíquotas!$H$9)</f>
        <v>0</v>
      </c>
      <c r="K20" s="21">
        <f t="shared" si="5"/>
        <v>166.36666666666667</v>
      </c>
      <c r="L20" s="21">
        <f t="shared" si="1"/>
        <v>1381.3333333333333</v>
      </c>
      <c r="M20" s="21">
        <f t="shared" si="6"/>
        <v>1540</v>
      </c>
      <c r="N20" s="21">
        <f t="shared" si="2"/>
        <v>2053.3333333333335</v>
      </c>
      <c r="O20" s="21">
        <f t="shared" si="7"/>
        <v>513.33333333333337</v>
      </c>
    </row>
    <row r="21" spans="1:15" s="22" customFormat="1" x14ac:dyDescent="0.25">
      <c r="A21" s="19">
        <v>76543210987</v>
      </c>
      <c r="B21" s="20" t="s">
        <v>28</v>
      </c>
      <c r="C21" s="20" t="s">
        <v>40</v>
      </c>
      <c r="D21" s="21">
        <v>1540</v>
      </c>
      <c r="E21" s="31">
        <v>0.22569444444444445</v>
      </c>
      <c r="F21" s="21">
        <f t="shared" si="3"/>
        <v>75.833333333333343</v>
      </c>
      <c r="G21" s="31">
        <v>0.25138888888888888</v>
      </c>
      <c r="H21" s="21">
        <f t="shared" si="4"/>
        <v>52.791666666666664</v>
      </c>
      <c r="I21" s="21">
        <f>INSS($D21,Alíquotas!$C$5,Alíquotas!$C$6,Alíquotas!$C$7)</f>
        <v>123.2</v>
      </c>
      <c r="J21" s="21">
        <f>IRPF($D21,$I21,Alíquotas!$H$6,Alíquotas!$H$7,Alíquotas!$H$8,Alíquotas!$H$9)</f>
        <v>0</v>
      </c>
      <c r="K21" s="21">
        <f t="shared" si="5"/>
        <v>175.99166666666667</v>
      </c>
      <c r="L21" s="21">
        <f t="shared" si="1"/>
        <v>1439.8416666666665</v>
      </c>
      <c r="M21" s="21">
        <f t="shared" si="6"/>
        <v>1540</v>
      </c>
      <c r="N21" s="21">
        <f t="shared" si="2"/>
        <v>2053.3333333333335</v>
      </c>
      <c r="O21" s="21">
        <f t="shared" si="7"/>
        <v>513.33333333333337</v>
      </c>
    </row>
    <row r="22" spans="1:15" s="22" customFormat="1" x14ac:dyDescent="0.25">
      <c r="A22" s="19">
        <v>65432109876</v>
      </c>
      <c r="B22" s="20" t="s">
        <v>11</v>
      </c>
      <c r="C22" s="20" t="s">
        <v>44</v>
      </c>
      <c r="D22" s="21">
        <v>2400</v>
      </c>
      <c r="E22" s="31">
        <v>0.23611111111111113</v>
      </c>
      <c r="F22" s="21">
        <f t="shared" si="3"/>
        <v>123.63636363636365</v>
      </c>
      <c r="G22" s="31">
        <v>0.25347222222222221</v>
      </c>
      <c r="H22" s="21">
        <f t="shared" si="4"/>
        <v>82.954545454545453</v>
      </c>
      <c r="I22" s="21">
        <f>INSS($D22,Alíquotas!$C$5,Alíquotas!$C$6,Alíquotas!$C$7)</f>
        <v>216</v>
      </c>
      <c r="J22" s="21">
        <f>IRPF($D22,$I22,Alíquotas!$H$6,Alíquotas!$H$7,Alíquotas!$H$8,Alíquotas!$H$9)</f>
        <v>180</v>
      </c>
      <c r="K22" s="21">
        <f t="shared" si="5"/>
        <v>478.95454545454544</v>
      </c>
      <c r="L22" s="21">
        <f t="shared" si="1"/>
        <v>2044.6818181818182</v>
      </c>
      <c r="M22" s="21">
        <f t="shared" si="6"/>
        <v>2400</v>
      </c>
      <c r="N22" s="21">
        <f t="shared" si="2"/>
        <v>3200</v>
      </c>
      <c r="O22" s="21">
        <f t="shared" si="7"/>
        <v>800</v>
      </c>
    </row>
    <row r="23" spans="1:15" s="22" customFormat="1" x14ac:dyDescent="0.25">
      <c r="A23" s="19">
        <v>54321098765</v>
      </c>
      <c r="B23" s="20" t="s">
        <v>25</v>
      </c>
      <c r="C23" s="20" t="s">
        <v>37</v>
      </c>
      <c r="D23" s="21">
        <v>6300</v>
      </c>
      <c r="E23" s="31">
        <v>0.68263888888888891</v>
      </c>
      <c r="F23" s="21">
        <f t="shared" si="3"/>
        <v>938.31818181818187</v>
      </c>
      <c r="G23" s="31">
        <v>0.16250000000000001</v>
      </c>
      <c r="H23" s="21">
        <f t="shared" si="4"/>
        <v>139.60227272727275</v>
      </c>
      <c r="I23" s="21">
        <f>INSS($D23,Alíquotas!$C$5,Alíquotas!$C$6,Alíquotas!$C$7)</f>
        <v>693</v>
      </c>
      <c r="J23" s="21">
        <f>IRPF($D23,$I23,Alíquotas!$H$6,Alíquotas!$H$7,Alíquotas!$H$8,Alíquotas!$H$9)</f>
        <v>1732.5000000000002</v>
      </c>
      <c r="K23" s="21">
        <f t="shared" si="5"/>
        <v>2565.102272727273</v>
      </c>
      <c r="L23" s="21">
        <f t="shared" si="1"/>
        <v>4673.215909090909</v>
      </c>
      <c r="M23" s="21">
        <f t="shared" si="6"/>
        <v>6300</v>
      </c>
      <c r="N23" s="21">
        <f t="shared" si="2"/>
        <v>8400</v>
      </c>
      <c r="O23" s="21">
        <f t="shared" si="7"/>
        <v>2100</v>
      </c>
    </row>
    <row r="24" spans="1:15" s="22" customFormat="1" x14ac:dyDescent="0.25">
      <c r="A24" s="19">
        <v>43210987654</v>
      </c>
      <c r="B24" s="20" t="s">
        <v>13</v>
      </c>
      <c r="C24" s="20" t="s">
        <v>44</v>
      </c>
      <c r="D24" s="21">
        <v>2100</v>
      </c>
      <c r="E24" s="31">
        <v>0.22222222222222221</v>
      </c>
      <c r="F24" s="21">
        <f t="shared" si="3"/>
        <v>101.81818181818181</v>
      </c>
      <c r="G24" s="31">
        <v>1.8749999999999999E-2</v>
      </c>
      <c r="H24" s="21">
        <f t="shared" si="4"/>
        <v>5.3693181818181817</v>
      </c>
      <c r="I24" s="21">
        <f>INSS($D24,Alíquotas!$C$5,Alíquotas!$C$6,Alíquotas!$C$7)</f>
        <v>189</v>
      </c>
      <c r="J24" s="21">
        <f>IRPF($D24,$I24,Alíquotas!$H$6,Alíquotas!$H$7,Alíquotas!$H$8,Alíquotas!$H$9)</f>
        <v>157.5</v>
      </c>
      <c r="K24" s="21">
        <f t="shared" si="5"/>
        <v>351.86931818181819</v>
      </c>
      <c r="L24" s="21">
        <f t="shared" si="1"/>
        <v>1849.9488636363635</v>
      </c>
      <c r="M24" s="21">
        <f t="shared" si="6"/>
        <v>2100</v>
      </c>
      <c r="N24" s="21">
        <f t="shared" si="2"/>
        <v>2800</v>
      </c>
      <c r="O24" s="21">
        <f t="shared" si="7"/>
        <v>700</v>
      </c>
    </row>
    <row r="25" spans="1:15" s="22" customFormat="1" x14ac:dyDescent="0.25">
      <c r="A25" s="19">
        <v>32109876543</v>
      </c>
      <c r="B25" s="20" t="s">
        <v>31</v>
      </c>
      <c r="C25" s="20" t="s">
        <v>42</v>
      </c>
      <c r="D25" s="21">
        <v>1830</v>
      </c>
      <c r="E25" s="31">
        <v>0.13333333333333333</v>
      </c>
      <c r="F25" s="21">
        <f t="shared" si="3"/>
        <v>53.236363636363649</v>
      </c>
      <c r="G25" s="31">
        <v>0.3979166666666667</v>
      </c>
      <c r="H25" s="21">
        <f t="shared" si="4"/>
        <v>99.298295454545467</v>
      </c>
      <c r="I25" s="21">
        <f>INSS($D25,Alíquotas!$C$5,Alíquotas!$C$6,Alíquotas!$C$7)</f>
        <v>164.7</v>
      </c>
      <c r="J25" s="21">
        <f>IRPF($D25,$I25,Alíquotas!$H$6,Alíquotas!$H$7,Alíquotas!$H$8,Alíquotas!$H$9)</f>
        <v>0</v>
      </c>
      <c r="K25" s="21">
        <f t="shared" si="5"/>
        <v>263.99829545454543</v>
      </c>
      <c r="L25" s="21">
        <f t="shared" si="1"/>
        <v>1619.2380681818183</v>
      </c>
      <c r="M25" s="21">
        <f t="shared" si="6"/>
        <v>1830</v>
      </c>
      <c r="N25" s="21">
        <f t="shared" si="2"/>
        <v>2440</v>
      </c>
      <c r="O25" s="21">
        <f t="shared" si="7"/>
        <v>610</v>
      </c>
    </row>
    <row r="26" spans="1:15" s="22" customFormat="1" x14ac:dyDescent="0.25">
      <c r="A26" s="19">
        <v>21098765432</v>
      </c>
      <c r="B26" s="20" t="s">
        <v>26</v>
      </c>
      <c r="C26" s="20" t="s">
        <v>44</v>
      </c>
      <c r="D26" s="21">
        <v>2100</v>
      </c>
      <c r="E26" s="31">
        <v>5.4166666666666669E-2</v>
      </c>
      <c r="F26" s="21">
        <f t="shared" si="3"/>
        <v>24.81818181818182</v>
      </c>
      <c r="G26" s="31">
        <v>3.125E-2</v>
      </c>
      <c r="H26" s="21">
        <f t="shared" si="4"/>
        <v>8.9488636363636367</v>
      </c>
      <c r="I26" s="21">
        <f>INSS($D26,Alíquotas!$C$5,Alíquotas!$C$6,Alíquotas!$C$7)</f>
        <v>189</v>
      </c>
      <c r="J26" s="21">
        <f>IRPF($D26,$I26,Alíquotas!$H$6,Alíquotas!$H$7,Alíquotas!$H$8,Alíquotas!$H$9)</f>
        <v>157.5</v>
      </c>
      <c r="K26" s="21">
        <f t="shared" si="5"/>
        <v>355.44886363636363</v>
      </c>
      <c r="L26" s="21">
        <f t="shared" si="1"/>
        <v>1769.3693181818182</v>
      </c>
      <c r="M26" s="21">
        <f t="shared" si="6"/>
        <v>2100</v>
      </c>
      <c r="N26" s="21">
        <f t="shared" si="2"/>
        <v>2800</v>
      </c>
      <c r="O26" s="21">
        <f t="shared" si="7"/>
        <v>700</v>
      </c>
    </row>
    <row r="27" spans="1:15" s="22" customFormat="1" x14ac:dyDescent="0.25">
      <c r="A27" s="19">
        <v>10987654321</v>
      </c>
      <c r="B27" s="20" t="s">
        <v>24</v>
      </c>
      <c r="C27" s="20" t="s">
        <v>43</v>
      </c>
      <c r="D27" s="21">
        <v>1900</v>
      </c>
      <c r="E27" s="31">
        <v>0.27916666666666667</v>
      </c>
      <c r="F27" s="21">
        <f t="shared" si="3"/>
        <v>115.72727272727273</v>
      </c>
      <c r="G27" s="31">
        <v>0.18263888888888891</v>
      </c>
      <c r="H27" s="21">
        <f t="shared" si="4"/>
        <v>47.320075757575758</v>
      </c>
      <c r="I27" s="21">
        <f>INSS($D27,Alíquotas!$C$5,Alíquotas!$C$6,Alíquotas!$C$7)</f>
        <v>171</v>
      </c>
      <c r="J27" s="21">
        <f>IRPF($D27,$I27,Alíquotas!$H$6,Alíquotas!$H$7,Alíquotas!$H$8,Alíquotas!$H$9)</f>
        <v>0</v>
      </c>
      <c r="K27" s="21">
        <f t="shared" si="5"/>
        <v>218.32007575757575</v>
      </c>
      <c r="L27" s="21">
        <f t="shared" si="1"/>
        <v>1797.407196969697</v>
      </c>
      <c r="M27" s="21">
        <f t="shared" si="6"/>
        <v>1900</v>
      </c>
      <c r="N27" s="21">
        <f t="shared" si="2"/>
        <v>2533.3333333333335</v>
      </c>
      <c r="O27" s="21">
        <f t="shared" si="7"/>
        <v>633.33333333333337</v>
      </c>
    </row>
    <row r="28" spans="1:15" s="22" customFormat="1" x14ac:dyDescent="0.25">
      <c r="A28" s="19">
        <v>98745632109</v>
      </c>
      <c r="B28" s="20" t="s">
        <v>29</v>
      </c>
      <c r="C28" s="20" t="s">
        <v>42</v>
      </c>
      <c r="D28" s="21">
        <v>1830</v>
      </c>
      <c r="E28" s="31">
        <v>5.5555555555555552E-2</v>
      </c>
      <c r="F28" s="21">
        <f t="shared" si="3"/>
        <v>22.181818181818183</v>
      </c>
      <c r="G28" s="31">
        <v>3.472222222222222E-3</v>
      </c>
      <c r="H28" s="21">
        <f t="shared" si="4"/>
        <v>0.86647727272727271</v>
      </c>
      <c r="I28" s="21">
        <f>INSS($D28,Alíquotas!$C$5,Alíquotas!$C$6,Alíquotas!$C$7)</f>
        <v>164.7</v>
      </c>
      <c r="J28" s="21">
        <f>IRPF($D28,$I28,Alíquotas!$H$6,Alíquotas!$H$7,Alíquotas!$H$8,Alíquotas!$H$9)</f>
        <v>0</v>
      </c>
      <c r="K28" s="21">
        <f t="shared" si="5"/>
        <v>165.56647727272727</v>
      </c>
      <c r="L28" s="21">
        <f t="shared" si="1"/>
        <v>1686.6153409090909</v>
      </c>
      <c r="M28" s="21">
        <f t="shared" si="6"/>
        <v>1830</v>
      </c>
      <c r="N28" s="21">
        <f t="shared" si="2"/>
        <v>2440</v>
      </c>
      <c r="O28" s="21">
        <f t="shared" si="7"/>
        <v>610</v>
      </c>
    </row>
    <row r="29" spans="1:15" x14ac:dyDescent="0.25">
      <c r="A29" s="19">
        <v>42959589807</v>
      </c>
      <c r="B29" s="20" t="s">
        <v>61</v>
      </c>
      <c r="C29" s="20" t="s">
        <v>62</v>
      </c>
      <c r="D29" s="21">
        <v>5200</v>
      </c>
      <c r="E29" s="31">
        <v>9.7222222222222196E-2</v>
      </c>
      <c r="F29" s="21">
        <f>HORA_EXTRA(D29,E29)</f>
        <v>110.30303030303028</v>
      </c>
      <c r="G29" s="31">
        <v>4.5138888888888902E-2</v>
      </c>
      <c r="H29" s="21">
        <f t="shared" si="4"/>
        <v>32.007575757575772</v>
      </c>
      <c r="I29" s="21">
        <f>INSS($D29,Alíquotas!$C$5,Alíquotas!$C$6,Alíquotas!$C$7)</f>
        <v>572</v>
      </c>
      <c r="J29" s="21">
        <f>IRPF($D29,$I29,Alíquotas!$H$6,Alíquotas!$H$7,Alíquotas!$H$8,Alíquotas!$H$9)</f>
        <v>1170</v>
      </c>
      <c r="K29" s="21">
        <f>SUM(H29+I29+J29)</f>
        <v>1774.0075757575758</v>
      </c>
      <c r="L29" s="21">
        <f>D29-K29+F29</f>
        <v>3536.2954545454545</v>
      </c>
      <c r="M29" s="21">
        <f t="shared" si="6"/>
        <v>5200</v>
      </c>
      <c r="N29" s="21">
        <f t="shared" si="2"/>
        <v>6933.333333333333</v>
      </c>
      <c r="O29" s="21">
        <f t="shared" si="7"/>
        <v>1733.3333333333333</v>
      </c>
    </row>
    <row r="30" spans="1:15" x14ac:dyDescent="0.25">
      <c r="A30" s="19"/>
      <c r="B30" s="20"/>
      <c r="C30" s="20"/>
      <c r="D30" s="21"/>
      <c r="E30" s="31"/>
      <c r="F30" s="21">
        <f t="shared" ref="F30:F40" si="8">HORA_EXTRA(D30,E30)</f>
        <v>0</v>
      </c>
      <c r="G30" s="31"/>
      <c r="H30" s="21">
        <f t="shared" si="4"/>
        <v>0</v>
      </c>
      <c r="I30" s="21">
        <f>INSS($D30,Alíquotas!$C$5,Alíquotas!$C$6,Alíquotas!$C$7)</f>
        <v>0</v>
      </c>
      <c r="J30" s="21">
        <f>IRPF($D30,$I30,Alíquotas!$H$6,Alíquotas!$H$7,Alíquotas!$H$8,Alíquotas!$H$9)</f>
        <v>0</v>
      </c>
      <c r="K30" s="21">
        <f t="shared" ref="K30:K40" si="9">SUM(H30+I30+J30)</f>
        <v>0</v>
      </c>
      <c r="L30" s="21">
        <f t="shared" ref="L30:L40" si="10">D30-K30+F30</f>
        <v>0</v>
      </c>
      <c r="M30" s="21">
        <f t="shared" si="6"/>
        <v>0</v>
      </c>
      <c r="N30" s="21">
        <f t="shared" ref="N30:N86" si="11">FERIAS($O30,$D30)</f>
        <v>0</v>
      </c>
      <c r="O30" s="21">
        <f t="shared" si="7"/>
        <v>0</v>
      </c>
    </row>
    <row r="31" spans="1:15" x14ac:dyDescent="0.25">
      <c r="A31" s="19"/>
      <c r="B31" s="20"/>
      <c r="C31" s="20"/>
      <c r="D31" s="21"/>
      <c r="E31" s="31"/>
      <c r="F31" s="21">
        <f t="shared" si="8"/>
        <v>0</v>
      </c>
      <c r="G31" s="31"/>
      <c r="H31" s="21">
        <f t="shared" si="4"/>
        <v>0</v>
      </c>
      <c r="I31" s="21">
        <f>INSS($D31,Alíquotas!$C$5,Alíquotas!$C$6,Alíquotas!$C$7)</f>
        <v>0</v>
      </c>
      <c r="J31" s="21">
        <f>IRPF($D31,$I31,Alíquotas!$H$6,Alíquotas!$H$7,Alíquotas!$H$8,Alíquotas!$H$9)</f>
        <v>0</v>
      </c>
      <c r="K31" s="21">
        <f t="shared" si="9"/>
        <v>0</v>
      </c>
      <c r="L31" s="21">
        <f t="shared" si="10"/>
        <v>0</v>
      </c>
      <c r="M31" s="21">
        <f t="shared" si="6"/>
        <v>0</v>
      </c>
      <c r="N31" s="21">
        <f t="shared" si="11"/>
        <v>0</v>
      </c>
      <c r="O31" s="21">
        <f t="shared" si="7"/>
        <v>0</v>
      </c>
    </row>
    <row r="32" spans="1:15" x14ac:dyDescent="0.25">
      <c r="A32" s="19"/>
      <c r="B32" s="20"/>
      <c r="C32" s="20"/>
      <c r="D32" s="21"/>
      <c r="E32" s="31"/>
      <c r="F32" s="21">
        <f t="shared" si="8"/>
        <v>0</v>
      </c>
      <c r="G32" s="31"/>
      <c r="H32" s="21">
        <f t="shared" si="4"/>
        <v>0</v>
      </c>
      <c r="I32" s="21">
        <f>INSS($D32,Alíquotas!$C$5,Alíquotas!$C$6,Alíquotas!$C$7)</f>
        <v>0</v>
      </c>
      <c r="J32" s="21">
        <f>IRPF($D32,$I32,Alíquotas!$H$6,Alíquotas!$H$7,Alíquotas!$H$8,Alíquotas!$H$9)</f>
        <v>0</v>
      </c>
      <c r="K32" s="21">
        <f t="shared" si="9"/>
        <v>0</v>
      </c>
      <c r="L32" s="21">
        <f t="shared" si="10"/>
        <v>0</v>
      </c>
      <c r="M32" s="21">
        <f t="shared" si="6"/>
        <v>0</v>
      </c>
      <c r="N32" s="21">
        <f t="shared" si="11"/>
        <v>0</v>
      </c>
      <c r="O32" s="21">
        <f t="shared" si="7"/>
        <v>0</v>
      </c>
    </row>
    <row r="33" spans="1:15" x14ac:dyDescent="0.25">
      <c r="A33" s="19"/>
      <c r="B33" s="20"/>
      <c r="C33" s="20"/>
      <c r="D33" s="21"/>
      <c r="E33" s="31"/>
      <c r="F33" s="21">
        <f t="shared" si="8"/>
        <v>0</v>
      </c>
      <c r="G33" s="31"/>
      <c r="H33" s="21">
        <f t="shared" si="4"/>
        <v>0</v>
      </c>
      <c r="I33" s="21">
        <f>INSS($D33,Alíquotas!$C$5,Alíquotas!$C$6,Alíquotas!$C$7)</f>
        <v>0</v>
      </c>
      <c r="J33" s="21">
        <f>IRPF($D33,$I33,Alíquotas!$H$6,Alíquotas!$H$7,Alíquotas!$H$8,Alíquotas!$H$9)</f>
        <v>0</v>
      </c>
      <c r="K33" s="21">
        <f t="shared" si="9"/>
        <v>0</v>
      </c>
      <c r="L33" s="21">
        <f t="shared" si="10"/>
        <v>0</v>
      </c>
      <c r="M33" s="21">
        <f t="shared" si="6"/>
        <v>0</v>
      </c>
      <c r="N33" s="21">
        <f t="shared" si="11"/>
        <v>0</v>
      </c>
      <c r="O33" s="21">
        <f t="shared" si="7"/>
        <v>0</v>
      </c>
    </row>
    <row r="34" spans="1:15" x14ac:dyDescent="0.25">
      <c r="A34" s="19"/>
      <c r="B34" s="20"/>
      <c r="C34" s="20"/>
      <c r="D34" s="21"/>
      <c r="E34" s="31"/>
      <c r="F34" s="21">
        <f t="shared" si="8"/>
        <v>0</v>
      </c>
      <c r="G34" s="31"/>
      <c r="H34" s="21">
        <f t="shared" si="4"/>
        <v>0</v>
      </c>
      <c r="I34" s="21">
        <f>INSS($D34,Alíquotas!$C$5,Alíquotas!$C$6,Alíquotas!$C$7)</f>
        <v>0</v>
      </c>
      <c r="J34" s="21">
        <f>IRPF($D34,$I34,Alíquotas!$H$6,Alíquotas!$H$7,Alíquotas!$H$8,Alíquotas!$H$9)</f>
        <v>0</v>
      </c>
      <c r="K34" s="21">
        <f t="shared" si="9"/>
        <v>0</v>
      </c>
      <c r="L34" s="21">
        <f t="shared" si="10"/>
        <v>0</v>
      </c>
      <c r="M34" s="21">
        <f t="shared" si="6"/>
        <v>0</v>
      </c>
      <c r="N34" s="21">
        <f t="shared" si="11"/>
        <v>0</v>
      </c>
      <c r="O34" s="21">
        <f t="shared" si="7"/>
        <v>0</v>
      </c>
    </row>
    <row r="35" spans="1:15" x14ac:dyDescent="0.25">
      <c r="A35" s="19"/>
      <c r="B35" s="20"/>
      <c r="C35" s="20"/>
      <c r="D35" s="21"/>
      <c r="E35" s="31"/>
      <c r="F35" s="21">
        <f t="shared" si="8"/>
        <v>0</v>
      </c>
      <c r="G35" s="31"/>
      <c r="H35" s="21">
        <f t="shared" si="4"/>
        <v>0</v>
      </c>
      <c r="I35" s="21">
        <f>INSS($D35,Alíquotas!$C$5,Alíquotas!$C$6,Alíquotas!$C$7)</f>
        <v>0</v>
      </c>
      <c r="J35" s="21">
        <f>IRPF($D35,$I35,Alíquotas!$H$6,Alíquotas!$H$7,Alíquotas!$H$8,Alíquotas!$H$9)</f>
        <v>0</v>
      </c>
      <c r="K35" s="21">
        <f t="shared" si="9"/>
        <v>0</v>
      </c>
      <c r="L35" s="21">
        <f t="shared" si="10"/>
        <v>0</v>
      </c>
      <c r="M35" s="21">
        <f t="shared" si="6"/>
        <v>0</v>
      </c>
      <c r="N35" s="21">
        <f t="shared" si="11"/>
        <v>0</v>
      </c>
      <c r="O35" s="21">
        <f t="shared" si="7"/>
        <v>0</v>
      </c>
    </row>
    <row r="36" spans="1:15" x14ac:dyDescent="0.25">
      <c r="A36" s="19"/>
      <c r="B36" s="20"/>
      <c r="C36" s="20"/>
      <c r="D36" s="21"/>
      <c r="E36" s="31"/>
      <c r="F36" s="21">
        <f t="shared" si="8"/>
        <v>0</v>
      </c>
      <c r="G36" s="31"/>
      <c r="H36" s="21">
        <f t="shared" si="4"/>
        <v>0</v>
      </c>
      <c r="I36" s="21">
        <f>INSS($D36,Alíquotas!$C$5,Alíquotas!$C$6,Alíquotas!$C$7)</f>
        <v>0</v>
      </c>
      <c r="J36" s="21">
        <f>IRPF($D36,$I36,Alíquotas!$H$6,Alíquotas!$H$7,Alíquotas!$H$8,Alíquotas!$H$9)</f>
        <v>0</v>
      </c>
      <c r="K36" s="21">
        <f t="shared" si="9"/>
        <v>0</v>
      </c>
      <c r="L36" s="21">
        <f t="shared" si="10"/>
        <v>0</v>
      </c>
      <c r="M36" s="21">
        <f t="shared" si="6"/>
        <v>0</v>
      </c>
      <c r="N36" s="21">
        <f t="shared" si="11"/>
        <v>0</v>
      </c>
      <c r="O36" s="21">
        <f t="shared" si="7"/>
        <v>0</v>
      </c>
    </row>
    <row r="37" spans="1:15" x14ac:dyDescent="0.25">
      <c r="A37" s="19"/>
      <c r="B37" s="20"/>
      <c r="C37" s="20"/>
      <c r="D37" s="21"/>
      <c r="E37" s="31"/>
      <c r="F37" s="21">
        <f t="shared" si="8"/>
        <v>0</v>
      </c>
      <c r="G37" s="31"/>
      <c r="H37" s="21">
        <f t="shared" si="4"/>
        <v>0</v>
      </c>
      <c r="I37" s="21">
        <f>INSS($D37,Alíquotas!$C$5,Alíquotas!$C$6,Alíquotas!$C$7)</f>
        <v>0</v>
      </c>
      <c r="J37" s="21">
        <f>IRPF($D37,$I37,Alíquotas!$H$6,Alíquotas!$H$7,Alíquotas!$H$8,Alíquotas!$H$9)</f>
        <v>0</v>
      </c>
      <c r="K37" s="21">
        <f t="shared" si="9"/>
        <v>0</v>
      </c>
      <c r="L37" s="21">
        <f t="shared" si="10"/>
        <v>0</v>
      </c>
      <c r="M37" s="21">
        <f t="shared" si="6"/>
        <v>0</v>
      </c>
      <c r="N37" s="21">
        <f t="shared" si="11"/>
        <v>0</v>
      </c>
      <c r="O37" s="21">
        <f t="shared" si="7"/>
        <v>0</v>
      </c>
    </row>
    <row r="38" spans="1:15" x14ac:dyDescent="0.25">
      <c r="A38" s="19"/>
      <c r="B38" s="20"/>
      <c r="C38" s="20"/>
      <c r="D38" s="21"/>
      <c r="E38" s="31"/>
      <c r="F38" s="21">
        <f t="shared" si="8"/>
        <v>0</v>
      </c>
      <c r="G38" s="31"/>
      <c r="H38" s="21">
        <f t="shared" si="4"/>
        <v>0</v>
      </c>
      <c r="I38" s="21">
        <f>INSS($D38,Alíquotas!$C$5,Alíquotas!$C$6,Alíquotas!$C$7)</f>
        <v>0</v>
      </c>
      <c r="J38" s="21">
        <f>IRPF($D38,$I38,Alíquotas!$H$6,Alíquotas!$H$7,Alíquotas!$H$8,Alíquotas!$H$9)</f>
        <v>0</v>
      </c>
      <c r="K38" s="21">
        <f t="shared" si="9"/>
        <v>0</v>
      </c>
      <c r="L38" s="21">
        <f t="shared" si="10"/>
        <v>0</v>
      </c>
      <c r="M38" s="21">
        <f t="shared" si="6"/>
        <v>0</v>
      </c>
      <c r="N38" s="21">
        <f t="shared" si="11"/>
        <v>0</v>
      </c>
      <c r="O38" s="21">
        <f t="shared" si="7"/>
        <v>0</v>
      </c>
    </row>
    <row r="39" spans="1:15" x14ac:dyDescent="0.25">
      <c r="A39" s="19"/>
      <c r="B39" s="20"/>
      <c r="C39" s="20"/>
      <c r="D39" s="21"/>
      <c r="E39" s="31"/>
      <c r="F39" s="21">
        <f t="shared" si="8"/>
        <v>0</v>
      </c>
      <c r="G39" s="31"/>
      <c r="H39" s="21">
        <f t="shared" si="4"/>
        <v>0</v>
      </c>
      <c r="I39" s="21">
        <f>INSS($D39,Alíquotas!$C$5,Alíquotas!$C$6,Alíquotas!$C$7)</f>
        <v>0</v>
      </c>
      <c r="J39" s="21">
        <f>IRPF($D39,$I39,Alíquotas!$H$6,Alíquotas!$H$7,Alíquotas!$H$8,Alíquotas!$H$9)</f>
        <v>0</v>
      </c>
      <c r="K39" s="21">
        <f t="shared" si="9"/>
        <v>0</v>
      </c>
      <c r="L39" s="21">
        <f t="shared" si="10"/>
        <v>0</v>
      </c>
      <c r="M39" s="21">
        <f t="shared" si="6"/>
        <v>0</v>
      </c>
      <c r="N39" s="21">
        <f t="shared" si="11"/>
        <v>0</v>
      </c>
      <c r="O39" s="21">
        <f t="shared" si="7"/>
        <v>0</v>
      </c>
    </row>
    <row r="40" spans="1:15" x14ac:dyDescent="0.25">
      <c r="A40" s="19"/>
      <c r="B40" s="20"/>
      <c r="C40" s="20"/>
      <c r="D40" s="21"/>
      <c r="E40" s="31"/>
      <c r="F40" s="21">
        <f t="shared" si="8"/>
        <v>0</v>
      </c>
      <c r="G40" s="31"/>
      <c r="H40" s="21">
        <f t="shared" si="4"/>
        <v>0</v>
      </c>
      <c r="I40" s="21">
        <f>INSS($D40,Alíquotas!$C$5,Alíquotas!$C$6,Alíquotas!$C$7)</f>
        <v>0</v>
      </c>
      <c r="J40" s="21">
        <f>IRPF($D40,$I40,Alíquotas!$H$6,Alíquotas!$H$7,Alíquotas!$H$8,Alíquotas!$H$9)</f>
        <v>0</v>
      </c>
      <c r="K40" s="21">
        <f t="shared" si="9"/>
        <v>0</v>
      </c>
      <c r="L40" s="21">
        <f t="shared" si="10"/>
        <v>0</v>
      </c>
      <c r="M40" s="21">
        <f t="shared" si="6"/>
        <v>0</v>
      </c>
      <c r="N40" s="21">
        <f t="shared" si="11"/>
        <v>0</v>
      </c>
      <c r="O40" s="21">
        <f t="shared" si="7"/>
        <v>0</v>
      </c>
    </row>
    <row r="41" spans="1:15" x14ac:dyDescent="0.25">
      <c r="A41" s="19"/>
      <c r="B41" s="20"/>
      <c r="C41" s="20"/>
      <c r="D41" s="21"/>
      <c r="E41" s="31"/>
      <c r="F41" s="21">
        <f t="shared" ref="F41:F104" si="12">HORA_EXTRA(D41,E41)</f>
        <v>0</v>
      </c>
      <c r="G41" s="31"/>
      <c r="H41" s="21">
        <f t="shared" si="4"/>
        <v>0</v>
      </c>
      <c r="I41" s="21">
        <f>INSS($D41,Alíquotas!$C$5,Alíquotas!$C$6,Alíquotas!$C$7)</f>
        <v>0</v>
      </c>
      <c r="J41" s="21">
        <f>IRPF($D41,$I41,Alíquotas!$H$6,Alíquotas!$H$7,Alíquotas!$H$8,Alíquotas!$H$9)</f>
        <v>0</v>
      </c>
      <c r="K41" s="21">
        <f t="shared" ref="K41:K104" si="13">SUM(H41+I41+J41)</f>
        <v>0</v>
      </c>
      <c r="L41" s="21">
        <f t="shared" ref="L41:L104" si="14">D41-K41+F41</f>
        <v>0</v>
      </c>
      <c r="M41" s="21">
        <f t="shared" si="6"/>
        <v>0</v>
      </c>
      <c r="N41" s="21">
        <f t="shared" si="11"/>
        <v>0</v>
      </c>
      <c r="O41" s="21">
        <f t="shared" si="7"/>
        <v>0</v>
      </c>
    </row>
    <row r="42" spans="1:15" x14ac:dyDescent="0.25">
      <c r="A42" s="19"/>
      <c r="B42" s="20"/>
      <c r="C42" s="20"/>
      <c r="D42" s="21"/>
      <c r="E42" s="31"/>
      <c r="F42" s="21">
        <f t="shared" si="12"/>
        <v>0</v>
      </c>
      <c r="G42" s="31"/>
      <c r="H42" s="21">
        <f t="shared" si="4"/>
        <v>0</v>
      </c>
      <c r="I42" s="21">
        <f>INSS($D42,Alíquotas!$C$5,Alíquotas!$C$6,Alíquotas!$C$7)</f>
        <v>0</v>
      </c>
      <c r="J42" s="21">
        <f>IRPF($D42,$I42,Alíquotas!$H$6,Alíquotas!$H$7,Alíquotas!$H$8,Alíquotas!$H$9)</f>
        <v>0</v>
      </c>
      <c r="K42" s="21">
        <f t="shared" si="13"/>
        <v>0</v>
      </c>
      <c r="L42" s="21">
        <f t="shared" si="14"/>
        <v>0</v>
      </c>
      <c r="M42" s="21">
        <f t="shared" si="6"/>
        <v>0</v>
      </c>
      <c r="N42" s="21">
        <f t="shared" si="11"/>
        <v>0</v>
      </c>
      <c r="O42" s="21">
        <f t="shared" si="7"/>
        <v>0</v>
      </c>
    </row>
    <row r="43" spans="1:15" x14ac:dyDescent="0.25">
      <c r="A43" s="19"/>
      <c r="B43" s="20"/>
      <c r="C43" s="20"/>
      <c r="D43" s="21"/>
      <c r="E43" s="31"/>
      <c r="F43" s="21">
        <f t="shared" si="12"/>
        <v>0</v>
      </c>
      <c r="G43" s="31"/>
      <c r="H43" s="21">
        <f t="shared" si="4"/>
        <v>0</v>
      </c>
      <c r="I43" s="21">
        <f>INSS($D43,Alíquotas!$C$5,Alíquotas!$C$6,Alíquotas!$C$7)</f>
        <v>0</v>
      </c>
      <c r="J43" s="21">
        <f>IRPF($D43,$I43,Alíquotas!$H$6,Alíquotas!$H$7,Alíquotas!$H$8,Alíquotas!$H$9)</f>
        <v>0</v>
      </c>
      <c r="K43" s="21">
        <f t="shared" si="13"/>
        <v>0</v>
      </c>
      <c r="L43" s="21">
        <f t="shared" si="14"/>
        <v>0</v>
      </c>
      <c r="M43" s="21">
        <f t="shared" si="6"/>
        <v>0</v>
      </c>
      <c r="N43" s="21">
        <f t="shared" si="11"/>
        <v>0</v>
      </c>
      <c r="O43" s="21">
        <f t="shared" si="7"/>
        <v>0</v>
      </c>
    </row>
    <row r="44" spans="1:15" x14ac:dyDescent="0.25">
      <c r="A44" s="19"/>
      <c r="B44" s="20"/>
      <c r="C44" s="20"/>
      <c r="D44" s="21"/>
      <c r="E44" s="31"/>
      <c r="F44" s="21">
        <f t="shared" si="12"/>
        <v>0</v>
      </c>
      <c r="G44" s="31"/>
      <c r="H44" s="21">
        <f t="shared" si="4"/>
        <v>0</v>
      </c>
      <c r="I44" s="21">
        <f>INSS($D44,Alíquotas!$C$5,Alíquotas!$C$6,Alíquotas!$C$7)</f>
        <v>0</v>
      </c>
      <c r="J44" s="21">
        <f>IRPF($D44,$I44,Alíquotas!$H$6,Alíquotas!$H$7,Alíquotas!$H$8,Alíquotas!$H$9)</f>
        <v>0</v>
      </c>
      <c r="K44" s="21">
        <f t="shared" si="13"/>
        <v>0</v>
      </c>
      <c r="L44" s="21">
        <f t="shared" si="14"/>
        <v>0</v>
      </c>
      <c r="M44" s="21">
        <f t="shared" si="6"/>
        <v>0</v>
      </c>
      <c r="N44" s="21">
        <f t="shared" si="11"/>
        <v>0</v>
      </c>
      <c r="O44" s="21">
        <f t="shared" si="7"/>
        <v>0</v>
      </c>
    </row>
    <row r="45" spans="1:15" x14ac:dyDescent="0.25">
      <c r="A45" s="19"/>
      <c r="B45" s="20"/>
      <c r="C45" s="20"/>
      <c r="D45" s="21"/>
      <c r="E45" s="31"/>
      <c r="F45" s="21">
        <f t="shared" si="12"/>
        <v>0</v>
      </c>
      <c r="G45" s="31"/>
      <c r="H45" s="21">
        <f t="shared" si="4"/>
        <v>0</v>
      </c>
      <c r="I45" s="21">
        <f>INSS($D45,Alíquotas!$C$5,Alíquotas!$C$6,Alíquotas!$C$7)</f>
        <v>0</v>
      </c>
      <c r="J45" s="21">
        <f>IRPF($D45,$I45,Alíquotas!$H$6,Alíquotas!$H$7,Alíquotas!$H$8,Alíquotas!$H$9)</f>
        <v>0</v>
      </c>
      <c r="K45" s="21">
        <f t="shared" si="13"/>
        <v>0</v>
      </c>
      <c r="L45" s="21">
        <f t="shared" si="14"/>
        <v>0</v>
      </c>
      <c r="M45" s="21">
        <f t="shared" si="6"/>
        <v>0</v>
      </c>
      <c r="N45" s="21">
        <f t="shared" si="11"/>
        <v>0</v>
      </c>
      <c r="O45" s="21">
        <f t="shared" si="7"/>
        <v>0</v>
      </c>
    </row>
    <row r="46" spans="1:15" x14ac:dyDescent="0.25">
      <c r="A46" s="19"/>
      <c r="B46" s="20"/>
      <c r="C46" s="20"/>
      <c r="D46" s="21"/>
      <c r="E46" s="31"/>
      <c r="F46" s="21">
        <f t="shared" si="12"/>
        <v>0</v>
      </c>
      <c r="G46" s="31"/>
      <c r="H46" s="21">
        <f t="shared" si="4"/>
        <v>0</v>
      </c>
      <c r="I46" s="21">
        <f>INSS($D46,Alíquotas!$C$5,Alíquotas!$C$6,Alíquotas!$C$7)</f>
        <v>0</v>
      </c>
      <c r="J46" s="21">
        <f>IRPF($D46,$I46,Alíquotas!$H$6,Alíquotas!$H$7,Alíquotas!$H$8,Alíquotas!$H$9)</f>
        <v>0</v>
      </c>
      <c r="K46" s="21">
        <f t="shared" si="13"/>
        <v>0</v>
      </c>
      <c r="L46" s="21">
        <f t="shared" si="14"/>
        <v>0</v>
      </c>
      <c r="M46" s="21">
        <f t="shared" si="6"/>
        <v>0</v>
      </c>
      <c r="N46" s="21">
        <f t="shared" si="11"/>
        <v>0</v>
      </c>
      <c r="O46" s="21">
        <f t="shared" si="7"/>
        <v>0</v>
      </c>
    </row>
    <row r="47" spans="1:15" x14ac:dyDescent="0.25">
      <c r="A47" s="19"/>
      <c r="B47" s="20"/>
      <c r="C47" s="20"/>
      <c r="D47" s="21"/>
      <c r="E47" s="31"/>
      <c r="F47" s="21">
        <f t="shared" si="12"/>
        <v>0</v>
      </c>
      <c r="G47" s="31"/>
      <c r="H47" s="21">
        <f t="shared" si="4"/>
        <v>0</v>
      </c>
      <c r="I47" s="21">
        <f>INSS($D47,Alíquotas!$C$5,Alíquotas!$C$6,Alíquotas!$C$7)</f>
        <v>0</v>
      </c>
      <c r="J47" s="21">
        <f>IRPF($D47,$I47,Alíquotas!$H$6,Alíquotas!$H$7,Alíquotas!$H$8,Alíquotas!$H$9)</f>
        <v>0</v>
      </c>
      <c r="K47" s="21">
        <f t="shared" si="13"/>
        <v>0</v>
      </c>
      <c r="L47" s="21">
        <f t="shared" si="14"/>
        <v>0</v>
      </c>
      <c r="M47" s="21">
        <f t="shared" si="6"/>
        <v>0</v>
      </c>
      <c r="N47" s="21">
        <f t="shared" si="11"/>
        <v>0</v>
      </c>
      <c r="O47" s="21">
        <f t="shared" si="7"/>
        <v>0</v>
      </c>
    </row>
    <row r="48" spans="1:15" x14ac:dyDescent="0.25">
      <c r="A48" s="19"/>
      <c r="B48" s="20"/>
      <c r="C48" s="20"/>
      <c r="D48" s="21"/>
      <c r="E48" s="31"/>
      <c r="F48" s="21">
        <f t="shared" si="12"/>
        <v>0</v>
      </c>
      <c r="G48" s="31"/>
      <c r="H48" s="21">
        <f t="shared" si="4"/>
        <v>0</v>
      </c>
      <c r="I48" s="21">
        <f>INSS($D48,Alíquotas!$C$5,Alíquotas!$C$6,Alíquotas!$C$7)</f>
        <v>0</v>
      </c>
      <c r="J48" s="21">
        <f>IRPF($D48,$I48,Alíquotas!$H$6,Alíquotas!$H$7,Alíquotas!$H$8,Alíquotas!$H$9)</f>
        <v>0</v>
      </c>
      <c r="K48" s="21">
        <f t="shared" si="13"/>
        <v>0</v>
      </c>
      <c r="L48" s="21">
        <f t="shared" si="14"/>
        <v>0</v>
      </c>
      <c r="M48" s="21">
        <f t="shared" si="6"/>
        <v>0</v>
      </c>
      <c r="N48" s="21">
        <f t="shared" si="11"/>
        <v>0</v>
      </c>
      <c r="O48" s="21">
        <f t="shared" si="7"/>
        <v>0</v>
      </c>
    </row>
    <row r="49" spans="1:15" x14ac:dyDescent="0.25">
      <c r="A49" s="19"/>
      <c r="B49" s="20"/>
      <c r="C49" s="20"/>
      <c r="D49" s="21"/>
      <c r="E49" s="31"/>
      <c r="F49" s="21">
        <f t="shared" si="12"/>
        <v>0</v>
      </c>
      <c r="G49" s="31"/>
      <c r="H49" s="21">
        <f t="shared" si="4"/>
        <v>0</v>
      </c>
      <c r="I49" s="21">
        <f>INSS($D49,Alíquotas!$C$5,Alíquotas!$C$6,Alíquotas!$C$7)</f>
        <v>0</v>
      </c>
      <c r="J49" s="21">
        <f>IRPF($D49,$I49,Alíquotas!$H$6,Alíquotas!$H$7,Alíquotas!$H$8,Alíquotas!$H$9)</f>
        <v>0</v>
      </c>
      <c r="K49" s="21">
        <f t="shared" si="13"/>
        <v>0</v>
      </c>
      <c r="L49" s="21">
        <f t="shared" si="14"/>
        <v>0</v>
      </c>
      <c r="M49" s="21">
        <f t="shared" si="6"/>
        <v>0</v>
      </c>
      <c r="N49" s="21">
        <f t="shared" si="11"/>
        <v>0</v>
      </c>
      <c r="O49" s="21">
        <f t="shared" si="7"/>
        <v>0</v>
      </c>
    </row>
    <row r="50" spans="1:15" x14ac:dyDescent="0.25">
      <c r="A50" s="19"/>
      <c r="B50" s="20"/>
      <c r="C50" s="20"/>
      <c r="D50" s="21"/>
      <c r="E50" s="31"/>
      <c r="F50" s="21">
        <f t="shared" si="12"/>
        <v>0</v>
      </c>
      <c r="G50" s="31"/>
      <c r="H50" s="21">
        <f t="shared" si="4"/>
        <v>0</v>
      </c>
      <c r="I50" s="21">
        <f>INSS($D50,Alíquotas!$C$5,Alíquotas!$C$6,Alíquotas!$C$7)</f>
        <v>0</v>
      </c>
      <c r="J50" s="21">
        <f>IRPF($D50,$I50,Alíquotas!$H$6,Alíquotas!$H$7,Alíquotas!$H$8,Alíquotas!$H$9)</f>
        <v>0</v>
      </c>
      <c r="K50" s="21">
        <f t="shared" si="13"/>
        <v>0</v>
      </c>
      <c r="L50" s="21">
        <f t="shared" si="14"/>
        <v>0</v>
      </c>
      <c r="M50" s="21">
        <f t="shared" si="6"/>
        <v>0</v>
      </c>
      <c r="N50" s="21">
        <f t="shared" si="11"/>
        <v>0</v>
      </c>
      <c r="O50" s="21">
        <f t="shared" si="7"/>
        <v>0</v>
      </c>
    </row>
    <row r="51" spans="1:15" x14ac:dyDescent="0.25">
      <c r="A51" s="19"/>
      <c r="B51" s="20"/>
      <c r="C51" s="20"/>
      <c r="D51" s="21"/>
      <c r="E51" s="31"/>
      <c r="F51" s="21">
        <f t="shared" si="12"/>
        <v>0</v>
      </c>
      <c r="G51" s="31"/>
      <c r="H51" s="21">
        <f t="shared" si="4"/>
        <v>0</v>
      </c>
      <c r="I51" s="21">
        <f>INSS($D51,Alíquotas!$C$5,Alíquotas!$C$6,Alíquotas!$C$7)</f>
        <v>0</v>
      </c>
      <c r="J51" s="21">
        <f>IRPF($D51,$I51,Alíquotas!$H$6,Alíquotas!$H$7,Alíquotas!$H$8,Alíquotas!$H$9)</f>
        <v>0</v>
      </c>
      <c r="K51" s="21">
        <f t="shared" si="13"/>
        <v>0</v>
      </c>
      <c r="L51" s="21">
        <f t="shared" si="14"/>
        <v>0</v>
      </c>
      <c r="M51" s="21">
        <f t="shared" si="6"/>
        <v>0</v>
      </c>
      <c r="N51" s="21">
        <f t="shared" si="11"/>
        <v>0</v>
      </c>
      <c r="O51" s="21">
        <f t="shared" si="7"/>
        <v>0</v>
      </c>
    </row>
    <row r="52" spans="1:15" x14ac:dyDescent="0.25">
      <c r="A52" s="19"/>
      <c r="B52" s="20"/>
      <c r="C52" s="20"/>
      <c r="D52" s="21"/>
      <c r="E52" s="31"/>
      <c r="F52" s="21">
        <f t="shared" si="12"/>
        <v>0</v>
      </c>
      <c r="G52" s="31"/>
      <c r="H52" s="21">
        <f t="shared" si="4"/>
        <v>0</v>
      </c>
      <c r="I52" s="21">
        <f>INSS($D52,Alíquotas!$C$5,Alíquotas!$C$6,Alíquotas!$C$7)</f>
        <v>0</v>
      </c>
      <c r="J52" s="21">
        <f>IRPF($D52,$I52,Alíquotas!$H$6,Alíquotas!$H$7,Alíquotas!$H$8,Alíquotas!$H$9)</f>
        <v>0</v>
      </c>
      <c r="K52" s="21">
        <f t="shared" si="13"/>
        <v>0</v>
      </c>
      <c r="L52" s="21">
        <f t="shared" si="14"/>
        <v>0</v>
      </c>
      <c r="M52" s="21">
        <f t="shared" si="6"/>
        <v>0</v>
      </c>
      <c r="N52" s="21">
        <f t="shared" si="11"/>
        <v>0</v>
      </c>
      <c r="O52" s="21">
        <f t="shared" si="7"/>
        <v>0</v>
      </c>
    </row>
    <row r="53" spans="1:15" x14ac:dyDescent="0.25">
      <c r="A53" s="19"/>
      <c r="B53" s="20"/>
      <c r="C53" s="20"/>
      <c r="D53" s="21"/>
      <c r="E53" s="31"/>
      <c r="F53" s="21">
        <f t="shared" si="12"/>
        <v>0</v>
      </c>
      <c r="G53" s="31"/>
      <c r="H53" s="21">
        <f t="shared" si="4"/>
        <v>0</v>
      </c>
      <c r="I53" s="21">
        <f>INSS($D53,Alíquotas!$C$5,Alíquotas!$C$6,Alíquotas!$C$7)</f>
        <v>0</v>
      </c>
      <c r="J53" s="21">
        <f>IRPF($D53,$I53,Alíquotas!$H$6,Alíquotas!$H$7,Alíquotas!$H$8,Alíquotas!$H$9)</f>
        <v>0</v>
      </c>
      <c r="K53" s="21">
        <f t="shared" si="13"/>
        <v>0</v>
      </c>
      <c r="L53" s="21">
        <f t="shared" si="14"/>
        <v>0</v>
      </c>
      <c r="M53" s="21">
        <f t="shared" si="6"/>
        <v>0</v>
      </c>
      <c r="N53" s="21">
        <f t="shared" si="11"/>
        <v>0</v>
      </c>
      <c r="O53" s="21">
        <f t="shared" si="7"/>
        <v>0</v>
      </c>
    </row>
    <row r="54" spans="1:15" x14ac:dyDescent="0.25">
      <c r="A54" s="19"/>
      <c r="B54" s="20"/>
      <c r="C54" s="20"/>
      <c r="D54" s="21"/>
      <c r="E54" s="31"/>
      <c r="F54" s="21">
        <f t="shared" si="12"/>
        <v>0</v>
      </c>
      <c r="G54" s="31"/>
      <c r="H54" s="21">
        <f t="shared" si="4"/>
        <v>0</v>
      </c>
      <c r="I54" s="21">
        <f>INSS($D54,Alíquotas!$C$5,Alíquotas!$C$6,Alíquotas!$C$7)</f>
        <v>0</v>
      </c>
      <c r="J54" s="21">
        <f>IRPF($D54,$I54,Alíquotas!$H$6,Alíquotas!$H$7,Alíquotas!$H$8,Alíquotas!$H$9)</f>
        <v>0</v>
      </c>
      <c r="K54" s="21">
        <f t="shared" si="13"/>
        <v>0</v>
      </c>
      <c r="L54" s="21">
        <f t="shared" si="14"/>
        <v>0</v>
      </c>
      <c r="M54" s="21">
        <f t="shared" si="6"/>
        <v>0</v>
      </c>
      <c r="N54" s="21">
        <f t="shared" si="11"/>
        <v>0</v>
      </c>
      <c r="O54" s="21">
        <f t="shared" si="7"/>
        <v>0</v>
      </c>
    </row>
    <row r="55" spans="1:15" x14ac:dyDescent="0.25">
      <c r="A55" s="19"/>
      <c r="B55" s="20"/>
      <c r="C55" s="20"/>
      <c r="D55" s="21"/>
      <c r="E55" s="31"/>
      <c r="F55" s="21">
        <f t="shared" si="12"/>
        <v>0</v>
      </c>
      <c r="G55" s="31"/>
      <c r="H55" s="21">
        <f t="shared" si="4"/>
        <v>0</v>
      </c>
      <c r="I55" s="21">
        <f>INSS($D55,Alíquotas!$C$5,Alíquotas!$C$6,Alíquotas!$C$7)</f>
        <v>0</v>
      </c>
      <c r="J55" s="21">
        <f>IRPF($D55,$I55,Alíquotas!$H$6,Alíquotas!$H$7,Alíquotas!$H$8,Alíquotas!$H$9)</f>
        <v>0</v>
      </c>
      <c r="K55" s="21">
        <f t="shared" si="13"/>
        <v>0</v>
      </c>
      <c r="L55" s="21">
        <f t="shared" si="14"/>
        <v>0</v>
      </c>
      <c r="M55" s="21">
        <f t="shared" si="6"/>
        <v>0</v>
      </c>
      <c r="N55" s="21">
        <f t="shared" si="11"/>
        <v>0</v>
      </c>
      <c r="O55" s="21">
        <f t="shared" si="7"/>
        <v>0</v>
      </c>
    </row>
    <row r="56" spans="1:15" x14ac:dyDescent="0.25">
      <c r="A56" s="19"/>
      <c r="B56" s="20"/>
      <c r="C56" s="20"/>
      <c r="D56" s="21"/>
      <c r="E56" s="31"/>
      <c r="F56" s="21">
        <f t="shared" si="12"/>
        <v>0</v>
      </c>
      <c r="G56" s="31"/>
      <c r="H56" s="21">
        <f t="shared" si="4"/>
        <v>0</v>
      </c>
      <c r="I56" s="21">
        <f>INSS($D56,Alíquotas!$C$5,Alíquotas!$C$6,Alíquotas!$C$7)</f>
        <v>0</v>
      </c>
      <c r="J56" s="21">
        <f>IRPF($D56,$I56,Alíquotas!$H$6,Alíquotas!$H$7,Alíquotas!$H$8,Alíquotas!$H$9)</f>
        <v>0</v>
      </c>
      <c r="K56" s="21">
        <f t="shared" si="13"/>
        <v>0</v>
      </c>
      <c r="L56" s="21">
        <f t="shared" si="14"/>
        <v>0</v>
      </c>
      <c r="M56" s="21">
        <f t="shared" si="6"/>
        <v>0</v>
      </c>
      <c r="N56" s="21">
        <f t="shared" si="11"/>
        <v>0</v>
      </c>
      <c r="O56" s="21">
        <f t="shared" si="7"/>
        <v>0</v>
      </c>
    </row>
    <row r="57" spans="1:15" x14ac:dyDescent="0.25">
      <c r="A57" s="19"/>
      <c r="B57" s="20"/>
      <c r="C57" s="20"/>
      <c r="D57" s="21"/>
      <c r="E57" s="31"/>
      <c r="F57" s="21">
        <f t="shared" si="12"/>
        <v>0</v>
      </c>
      <c r="G57" s="31"/>
      <c r="H57" s="21">
        <f t="shared" si="4"/>
        <v>0</v>
      </c>
      <c r="I57" s="21">
        <f>INSS($D57,Alíquotas!$C$5,Alíquotas!$C$6,Alíquotas!$C$7)</f>
        <v>0</v>
      </c>
      <c r="J57" s="21">
        <f>IF(D57-I57&lt;=Alíquotas!$G$5, 0, IF(D57-I57&lt;=Alíquotas!$G$6, D57*Alíquotas!$H$6, IF(D57-I57&lt;=Alíquotas!$G$7, D57*Alíquotas!$H$7, IF(D57-I57&lt;=Alíquotas!$G$8, D57*Alíquotas!$H$8, D57*Alíquotas!$H$9))))</f>
        <v>0</v>
      </c>
      <c r="K57" s="21">
        <f t="shared" si="13"/>
        <v>0</v>
      </c>
      <c r="L57" s="21">
        <f t="shared" si="14"/>
        <v>0</v>
      </c>
      <c r="M57" s="21">
        <f t="shared" si="6"/>
        <v>0</v>
      </c>
      <c r="N57" s="21">
        <f t="shared" si="11"/>
        <v>0</v>
      </c>
      <c r="O57" s="21">
        <f t="shared" si="7"/>
        <v>0</v>
      </c>
    </row>
    <row r="58" spans="1:15" x14ac:dyDescent="0.25">
      <c r="A58" s="19"/>
      <c r="B58" s="20"/>
      <c r="C58" s="20"/>
      <c r="D58" s="21"/>
      <c r="E58" s="31"/>
      <c r="F58" s="21">
        <f t="shared" si="12"/>
        <v>0</v>
      </c>
      <c r="G58" s="31"/>
      <c r="H58" s="21">
        <f t="shared" si="4"/>
        <v>0</v>
      </c>
      <c r="I58" s="21">
        <f>INSS($D58,Alíquotas!$C$5,Alíquotas!$C$6,Alíquotas!$C$7)</f>
        <v>0</v>
      </c>
      <c r="J58" s="21">
        <f>IF(D58-I58&lt;=Alíquotas!$G$5, 0, IF(D58-I58&lt;=Alíquotas!$G$6, D58*Alíquotas!$H$6, IF(D58-I58&lt;=Alíquotas!$G$7, D58*Alíquotas!$H$7, IF(D58-I58&lt;=Alíquotas!$G$8, D58*Alíquotas!$H$8, D58*Alíquotas!$H$9))))</f>
        <v>0</v>
      </c>
      <c r="K58" s="21">
        <f t="shared" si="13"/>
        <v>0</v>
      </c>
      <c r="L58" s="21">
        <f t="shared" si="14"/>
        <v>0</v>
      </c>
      <c r="M58" s="21">
        <f t="shared" si="6"/>
        <v>0</v>
      </c>
      <c r="N58" s="21">
        <f t="shared" si="11"/>
        <v>0</v>
      </c>
      <c r="O58" s="21">
        <f t="shared" si="7"/>
        <v>0</v>
      </c>
    </row>
    <row r="59" spans="1:15" x14ac:dyDescent="0.25">
      <c r="A59" s="19"/>
      <c r="B59" s="20"/>
      <c r="C59" s="20"/>
      <c r="D59" s="21"/>
      <c r="E59" s="31"/>
      <c r="F59" s="21">
        <f t="shared" si="12"/>
        <v>0</v>
      </c>
      <c r="G59" s="31"/>
      <c r="H59" s="21">
        <f t="shared" si="4"/>
        <v>0</v>
      </c>
      <c r="I59" s="21">
        <f>INSS($D59,Alíquotas!$C$5,Alíquotas!$C$6,Alíquotas!$C$7)</f>
        <v>0</v>
      </c>
      <c r="J59" s="21">
        <f>IF(D59-I59&lt;=Alíquotas!$G$5, 0, IF(D59-I59&lt;=Alíquotas!$G$6, D59*Alíquotas!$H$6, IF(D59-I59&lt;=Alíquotas!$G$7, D59*Alíquotas!$H$7, IF(D59-I59&lt;=Alíquotas!$G$8, D59*Alíquotas!$H$8, D59*Alíquotas!$H$9))))</f>
        <v>0</v>
      </c>
      <c r="K59" s="21">
        <f t="shared" si="13"/>
        <v>0</v>
      </c>
      <c r="L59" s="21">
        <f t="shared" si="14"/>
        <v>0</v>
      </c>
      <c r="M59" s="21">
        <f t="shared" si="6"/>
        <v>0</v>
      </c>
      <c r="N59" s="21">
        <f t="shared" si="11"/>
        <v>0</v>
      </c>
      <c r="O59" s="21">
        <f t="shared" si="7"/>
        <v>0</v>
      </c>
    </row>
    <row r="60" spans="1:15" x14ac:dyDescent="0.25">
      <c r="A60" s="19"/>
      <c r="B60" s="20"/>
      <c r="C60" s="20"/>
      <c r="D60" s="21"/>
      <c r="E60" s="31"/>
      <c r="F60" s="21">
        <f t="shared" si="12"/>
        <v>0</v>
      </c>
      <c r="G60" s="31"/>
      <c r="H60" s="21">
        <f t="shared" si="4"/>
        <v>0</v>
      </c>
      <c r="I60" s="21">
        <f>INSS($D60,Alíquotas!$C$5,Alíquotas!$C$6,Alíquotas!$C$7)</f>
        <v>0</v>
      </c>
      <c r="J60" s="21">
        <f>IF(D60-I60&lt;=Alíquotas!$G$5, 0, IF(D60-I60&lt;=Alíquotas!$G$6, D60*Alíquotas!$H$6, IF(D60-I60&lt;=Alíquotas!$G$7, D60*Alíquotas!$H$7, IF(D60-I60&lt;=Alíquotas!$G$8, D60*Alíquotas!$H$8, D60*Alíquotas!$H$9))))</f>
        <v>0</v>
      </c>
      <c r="K60" s="21">
        <f t="shared" si="13"/>
        <v>0</v>
      </c>
      <c r="L60" s="21">
        <f t="shared" si="14"/>
        <v>0</v>
      </c>
      <c r="M60" s="21">
        <f t="shared" si="6"/>
        <v>0</v>
      </c>
      <c r="N60" s="21">
        <f t="shared" si="11"/>
        <v>0</v>
      </c>
      <c r="O60" s="21">
        <f t="shared" si="7"/>
        <v>0</v>
      </c>
    </row>
    <row r="61" spans="1:15" x14ac:dyDescent="0.25">
      <c r="A61" s="19"/>
      <c r="B61" s="20"/>
      <c r="C61" s="20"/>
      <c r="D61" s="21"/>
      <c r="E61" s="31"/>
      <c r="F61" s="21">
        <f t="shared" si="12"/>
        <v>0</v>
      </c>
      <c r="G61" s="31"/>
      <c r="H61" s="21">
        <f t="shared" si="4"/>
        <v>0</v>
      </c>
      <c r="I61" s="21">
        <f>INSS($D61,Alíquotas!$C$5,Alíquotas!$C$6,Alíquotas!$C$7)</f>
        <v>0</v>
      </c>
      <c r="J61" s="21">
        <f>IF(D61-I61&lt;=Alíquotas!$G$5, 0, IF(D61-I61&lt;=Alíquotas!$G$6, D61*Alíquotas!$H$6, IF(D61-I61&lt;=Alíquotas!$G$7, D61*Alíquotas!$H$7, IF(D61-I61&lt;=Alíquotas!$G$8, D61*Alíquotas!$H$8, D61*Alíquotas!$H$9))))</f>
        <v>0</v>
      </c>
      <c r="K61" s="21">
        <f t="shared" si="13"/>
        <v>0</v>
      </c>
      <c r="L61" s="21">
        <f t="shared" si="14"/>
        <v>0</v>
      </c>
      <c r="M61" s="21">
        <f t="shared" si="6"/>
        <v>0</v>
      </c>
      <c r="N61" s="21">
        <f t="shared" si="11"/>
        <v>0</v>
      </c>
      <c r="O61" s="21">
        <f t="shared" si="7"/>
        <v>0</v>
      </c>
    </row>
    <row r="62" spans="1:15" x14ac:dyDescent="0.25">
      <c r="A62" s="19"/>
      <c r="B62" s="20"/>
      <c r="C62" s="20"/>
      <c r="D62" s="21"/>
      <c r="E62" s="31"/>
      <c r="F62" s="21">
        <f t="shared" si="12"/>
        <v>0</v>
      </c>
      <c r="G62" s="31"/>
      <c r="H62" s="21">
        <f t="shared" si="4"/>
        <v>0</v>
      </c>
      <c r="I62" s="21">
        <f>INSS($D62,Alíquotas!$C$5,Alíquotas!$C$6,Alíquotas!$C$7)</f>
        <v>0</v>
      </c>
      <c r="J62" s="21">
        <f>IF(D62-I62&lt;=Alíquotas!$G$5, 0, IF(D62-I62&lt;=Alíquotas!$G$6, D62*Alíquotas!$H$6, IF(D62-I62&lt;=Alíquotas!$G$7, D62*Alíquotas!$H$7, IF(D62-I62&lt;=Alíquotas!$G$8, D62*Alíquotas!$H$8, D62*Alíquotas!$H$9))))</f>
        <v>0</v>
      </c>
      <c r="K62" s="21">
        <f t="shared" si="13"/>
        <v>0</v>
      </c>
      <c r="L62" s="21">
        <f t="shared" si="14"/>
        <v>0</v>
      </c>
      <c r="M62" s="21">
        <f t="shared" si="6"/>
        <v>0</v>
      </c>
      <c r="N62" s="21">
        <f t="shared" si="11"/>
        <v>0</v>
      </c>
      <c r="O62" s="21">
        <f t="shared" si="7"/>
        <v>0</v>
      </c>
    </row>
    <row r="63" spans="1:15" x14ac:dyDescent="0.25">
      <c r="A63" s="19"/>
      <c r="B63" s="20"/>
      <c r="C63" s="20"/>
      <c r="D63" s="21"/>
      <c r="E63" s="31"/>
      <c r="F63" s="21">
        <f t="shared" si="12"/>
        <v>0</v>
      </c>
      <c r="G63" s="31"/>
      <c r="H63" s="21">
        <f t="shared" si="4"/>
        <v>0</v>
      </c>
      <c r="I63" s="21">
        <f>INSS($D63,Alíquotas!$C$5,Alíquotas!$C$6,Alíquotas!$C$7)</f>
        <v>0</v>
      </c>
      <c r="J63" s="21">
        <f>IF(D63-I63&lt;=Alíquotas!$G$5, 0, IF(D63-I63&lt;=Alíquotas!$G$6, D63*Alíquotas!$H$6, IF(D63-I63&lt;=Alíquotas!$G$7, D63*Alíquotas!$H$7, IF(D63-I63&lt;=Alíquotas!$G$8, D63*Alíquotas!$H$8, D63*Alíquotas!$H$9))))</f>
        <v>0</v>
      </c>
      <c r="K63" s="21">
        <f t="shared" si="13"/>
        <v>0</v>
      </c>
      <c r="L63" s="21">
        <f t="shared" si="14"/>
        <v>0</v>
      </c>
      <c r="M63" s="21">
        <f t="shared" si="6"/>
        <v>0</v>
      </c>
      <c r="N63" s="21">
        <f t="shared" si="11"/>
        <v>0</v>
      </c>
      <c r="O63" s="21">
        <f t="shared" si="7"/>
        <v>0</v>
      </c>
    </row>
    <row r="64" spans="1:15" x14ac:dyDescent="0.25">
      <c r="A64" s="19"/>
      <c r="B64" s="20"/>
      <c r="C64" s="20"/>
      <c r="D64" s="21"/>
      <c r="E64" s="31"/>
      <c r="F64" s="21">
        <f t="shared" si="12"/>
        <v>0</v>
      </c>
      <c r="G64" s="31"/>
      <c r="H64" s="21">
        <f t="shared" si="4"/>
        <v>0</v>
      </c>
      <c r="I64" s="21">
        <f>INSS($D64,Alíquotas!$C$5,Alíquotas!$C$6,Alíquotas!$C$7)</f>
        <v>0</v>
      </c>
      <c r="J64" s="21">
        <f>IF(D64-I64&lt;=Alíquotas!$G$5, 0, IF(D64-I64&lt;=Alíquotas!$G$6, D64*Alíquotas!$H$6, IF(D64-I64&lt;=Alíquotas!$G$7, D64*Alíquotas!$H$7, IF(D64-I64&lt;=Alíquotas!$G$8, D64*Alíquotas!$H$8, D64*Alíquotas!$H$9))))</f>
        <v>0</v>
      </c>
      <c r="K64" s="21">
        <f t="shared" si="13"/>
        <v>0</v>
      </c>
      <c r="L64" s="21">
        <f t="shared" si="14"/>
        <v>0</v>
      </c>
      <c r="M64" s="21">
        <f t="shared" si="6"/>
        <v>0</v>
      </c>
      <c r="N64" s="21">
        <f t="shared" si="11"/>
        <v>0</v>
      </c>
      <c r="O64" s="21">
        <f t="shared" si="7"/>
        <v>0</v>
      </c>
    </row>
    <row r="65" spans="1:15" x14ac:dyDescent="0.25">
      <c r="A65" s="19"/>
      <c r="B65" s="20"/>
      <c r="C65" s="20"/>
      <c r="D65" s="21"/>
      <c r="E65" s="31"/>
      <c r="F65" s="21">
        <f t="shared" si="12"/>
        <v>0</v>
      </c>
      <c r="G65" s="31"/>
      <c r="H65" s="21">
        <f t="shared" si="4"/>
        <v>0</v>
      </c>
      <c r="I65" s="21">
        <f>INSS($D65,Alíquotas!$C$5,Alíquotas!$C$6,Alíquotas!$C$7)</f>
        <v>0</v>
      </c>
      <c r="J65" s="21">
        <f>IF(D65-I65&lt;=Alíquotas!$G$5, 0, IF(D65-I65&lt;=Alíquotas!$G$6, D65*Alíquotas!$H$6, IF(D65-I65&lt;=Alíquotas!$G$7, D65*Alíquotas!$H$7, IF(D65-I65&lt;=Alíquotas!$G$8, D65*Alíquotas!$H$8, D65*Alíquotas!$H$9))))</f>
        <v>0</v>
      </c>
      <c r="K65" s="21">
        <f t="shared" si="13"/>
        <v>0</v>
      </c>
      <c r="L65" s="21">
        <f t="shared" si="14"/>
        <v>0</v>
      </c>
      <c r="M65" s="21">
        <f t="shared" si="6"/>
        <v>0</v>
      </c>
      <c r="N65" s="21">
        <f t="shared" si="11"/>
        <v>0</v>
      </c>
      <c r="O65" s="21">
        <f t="shared" si="7"/>
        <v>0</v>
      </c>
    </row>
    <row r="66" spans="1:15" x14ac:dyDescent="0.25">
      <c r="A66" s="19"/>
      <c r="B66" s="20"/>
      <c r="C66" s="20"/>
      <c r="D66" s="21"/>
      <c r="E66" s="31"/>
      <c r="F66" s="21">
        <f t="shared" si="12"/>
        <v>0</v>
      </c>
      <c r="G66" s="31"/>
      <c r="H66" s="21">
        <f t="shared" si="4"/>
        <v>0</v>
      </c>
      <c r="I66" s="21">
        <f>INSS($D66,Alíquotas!$C$5,Alíquotas!$C$6,Alíquotas!$C$7)</f>
        <v>0</v>
      </c>
      <c r="J66" s="21">
        <f>IF(D66-I66&lt;=Alíquotas!$G$5, 0, IF(D66-I66&lt;=Alíquotas!$G$6, D66*Alíquotas!$H$6, IF(D66-I66&lt;=Alíquotas!$G$7, D66*Alíquotas!$H$7, IF(D66-I66&lt;=Alíquotas!$G$8, D66*Alíquotas!$H$8, D66*Alíquotas!$H$9))))</f>
        <v>0</v>
      </c>
      <c r="K66" s="21">
        <f t="shared" si="13"/>
        <v>0</v>
      </c>
      <c r="L66" s="21">
        <f t="shared" si="14"/>
        <v>0</v>
      </c>
      <c r="M66" s="21">
        <f t="shared" si="6"/>
        <v>0</v>
      </c>
      <c r="N66" s="21">
        <f t="shared" si="11"/>
        <v>0</v>
      </c>
      <c r="O66" s="21">
        <f t="shared" si="7"/>
        <v>0</v>
      </c>
    </row>
    <row r="67" spans="1:15" x14ac:dyDescent="0.25">
      <c r="A67" s="19"/>
      <c r="B67" s="20"/>
      <c r="C67" s="20"/>
      <c r="D67" s="21"/>
      <c r="E67" s="31"/>
      <c r="F67" s="21">
        <f t="shared" si="12"/>
        <v>0</v>
      </c>
      <c r="G67" s="31"/>
      <c r="H67" s="21">
        <f t="shared" si="4"/>
        <v>0</v>
      </c>
      <c r="I67" s="21">
        <f>INSS($D67,Alíquotas!$C$5,Alíquotas!$C$6,Alíquotas!$C$7)</f>
        <v>0</v>
      </c>
      <c r="J67" s="21">
        <f>IF(D67-I67&lt;=Alíquotas!$G$5, 0, IF(D67-I67&lt;=Alíquotas!$G$6, D67*Alíquotas!$H$6, IF(D67-I67&lt;=Alíquotas!$G$7, D67*Alíquotas!$H$7, IF(D67-I67&lt;=Alíquotas!$G$8, D67*Alíquotas!$H$8, D67*Alíquotas!$H$9))))</f>
        <v>0</v>
      </c>
      <c r="K67" s="21">
        <f t="shared" si="13"/>
        <v>0</v>
      </c>
      <c r="L67" s="21">
        <f t="shared" si="14"/>
        <v>0</v>
      </c>
      <c r="M67" s="21">
        <f t="shared" si="6"/>
        <v>0</v>
      </c>
      <c r="N67" s="21">
        <f t="shared" si="11"/>
        <v>0</v>
      </c>
      <c r="O67" s="21">
        <f t="shared" si="7"/>
        <v>0</v>
      </c>
    </row>
    <row r="68" spans="1:15" x14ac:dyDescent="0.25">
      <c r="A68" s="19"/>
      <c r="B68" s="20"/>
      <c r="C68" s="20"/>
      <c r="D68" s="21"/>
      <c r="E68" s="31"/>
      <c r="F68" s="21">
        <f t="shared" si="12"/>
        <v>0</v>
      </c>
      <c r="G68" s="31"/>
      <c r="H68" s="21">
        <f t="shared" si="4"/>
        <v>0</v>
      </c>
      <c r="I68" s="21">
        <f>INSS($D68,Alíquotas!$C$5,Alíquotas!$C$6,Alíquotas!$C$7)</f>
        <v>0</v>
      </c>
      <c r="J68" s="21">
        <f>IF(D68-I68&lt;=Alíquotas!$G$5, 0, IF(D68-I68&lt;=Alíquotas!$G$6, D68*Alíquotas!$H$6, IF(D68-I68&lt;=Alíquotas!$G$7, D68*Alíquotas!$H$7, IF(D68-I68&lt;=Alíquotas!$G$8, D68*Alíquotas!$H$8, D68*Alíquotas!$H$9))))</f>
        <v>0</v>
      </c>
      <c r="K68" s="21">
        <f t="shared" si="13"/>
        <v>0</v>
      </c>
      <c r="L68" s="21">
        <f t="shared" si="14"/>
        <v>0</v>
      </c>
      <c r="M68" s="21">
        <f t="shared" si="6"/>
        <v>0</v>
      </c>
      <c r="N68" s="21">
        <f t="shared" si="11"/>
        <v>0</v>
      </c>
      <c r="O68" s="21">
        <f t="shared" si="7"/>
        <v>0</v>
      </c>
    </row>
    <row r="69" spans="1:15" x14ac:dyDescent="0.25">
      <c r="A69" s="19"/>
      <c r="B69" s="20"/>
      <c r="C69" s="20"/>
      <c r="D69" s="21"/>
      <c r="E69" s="31"/>
      <c r="F69" s="21">
        <f t="shared" si="12"/>
        <v>0</v>
      </c>
      <c r="G69" s="31"/>
      <c r="H69" s="21">
        <f t="shared" si="4"/>
        <v>0</v>
      </c>
      <c r="I69" s="21">
        <f>INSS($D69,Alíquotas!$C$5,Alíquotas!$C$6,Alíquotas!$C$7)</f>
        <v>0</v>
      </c>
      <c r="J69" s="21">
        <f>IF(D69-I69&lt;=Alíquotas!$G$5, 0, IF(D69-I69&lt;=Alíquotas!$G$6, D69*Alíquotas!$H$6, IF(D69-I69&lt;=Alíquotas!$G$7, D69*Alíquotas!$H$7, IF(D69-I69&lt;=Alíquotas!$G$8, D69*Alíquotas!$H$8, D69*Alíquotas!$H$9))))</f>
        <v>0</v>
      </c>
      <c r="K69" s="21">
        <f t="shared" si="13"/>
        <v>0</v>
      </c>
      <c r="L69" s="21">
        <f t="shared" si="14"/>
        <v>0</v>
      </c>
      <c r="M69" s="21">
        <f t="shared" si="6"/>
        <v>0</v>
      </c>
      <c r="N69" s="21">
        <f t="shared" si="11"/>
        <v>0</v>
      </c>
      <c r="O69" s="21">
        <f t="shared" si="7"/>
        <v>0</v>
      </c>
    </row>
    <row r="70" spans="1:15" x14ac:dyDescent="0.25">
      <c r="A70" s="19"/>
      <c r="B70" s="20"/>
      <c r="C70" s="20"/>
      <c r="D70" s="21"/>
      <c r="E70" s="31"/>
      <c r="F70" s="21">
        <f t="shared" si="12"/>
        <v>0</v>
      </c>
      <c r="G70" s="31"/>
      <c r="H70" s="21">
        <f t="shared" si="4"/>
        <v>0</v>
      </c>
      <c r="I70" s="21">
        <f>INSS($D70,Alíquotas!$C$5,Alíquotas!$C$6,Alíquotas!$C$7)</f>
        <v>0</v>
      </c>
      <c r="J70" s="21">
        <f>IF(D70-I70&lt;=Alíquotas!$G$5, 0, IF(D70-I70&lt;=Alíquotas!$G$6, D70*Alíquotas!$H$6, IF(D70-I70&lt;=Alíquotas!$G$7, D70*Alíquotas!$H$7, IF(D70-I70&lt;=Alíquotas!$G$8, D70*Alíquotas!$H$8, D70*Alíquotas!$H$9))))</f>
        <v>0</v>
      </c>
      <c r="K70" s="21">
        <f t="shared" si="13"/>
        <v>0</v>
      </c>
      <c r="L70" s="21">
        <f t="shared" si="14"/>
        <v>0</v>
      </c>
      <c r="M70" s="21">
        <f t="shared" si="6"/>
        <v>0</v>
      </c>
      <c r="N70" s="21">
        <f t="shared" si="11"/>
        <v>0</v>
      </c>
      <c r="O70" s="21">
        <f t="shared" si="7"/>
        <v>0</v>
      </c>
    </row>
    <row r="71" spans="1:15" x14ac:dyDescent="0.25">
      <c r="A71" s="19"/>
      <c r="B71" s="20"/>
      <c r="C71" s="20"/>
      <c r="D71" s="21"/>
      <c r="E71" s="31"/>
      <c r="F71" s="21">
        <f t="shared" si="12"/>
        <v>0</v>
      </c>
      <c r="G71" s="31"/>
      <c r="H71" s="21">
        <f t="shared" si="4"/>
        <v>0</v>
      </c>
      <c r="I71" s="21">
        <f>INSS($D71,Alíquotas!$C$5,Alíquotas!$C$6,Alíquotas!$C$7)</f>
        <v>0</v>
      </c>
      <c r="J71" s="21">
        <f>IF(D71-I71&lt;=Alíquotas!$G$5, 0, IF(D71-I71&lt;=Alíquotas!$G$6, D71*Alíquotas!$H$6, IF(D71-I71&lt;=Alíquotas!$G$7, D71*Alíquotas!$H$7, IF(D71-I71&lt;=Alíquotas!$G$8, D71*Alíquotas!$H$8, D71*Alíquotas!$H$9))))</f>
        <v>0</v>
      </c>
      <c r="K71" s="21">
        <f t="shared" si="13"/>
        <v>0</v>
      </c>
      <c r="L71" s="21">
        <f t="shared" si="14"/>
        <v>0</v>
      </c>
      <c r="M71" s="21">
        <f t="shared" si="6"/>
        <v>0</v>
      </c>
      <c r="N71" s="21">
        <f t="shared" si="11"/>
        <v>0</v>
      </c>
      <c r="O71" s="21">
        <f t="shared" si="7"/>
        <v>0</v>
      </c>
    </row>
    <row r="72" spans="1:15" x14ac:dyDescent="0.25">
      <c r="A72" s="19"/>
      <c r="B72" s="20"/>
      <c r="C72" s="20"/>
      <c r="D72" s="21"/>
      <c r="E72" s="31"/>
      <c r="F72" s="21">
        <f t="shared" si="12"/>
        <v>0</v>
      </c>
      <c r="G72" s="31"/>
      <c r="H72" s="21">
        <f t="shared" ref="H72:H135" si="15">ATRASO($D72,$G72)</f>
        <v>0</v>
      </c>
      <c r="I72" s="21">
        <f>INSS($D72,Alíquotas!$C$5,Alíquotas!$C$6,Alíquotas!$C$7)</f>
        <v>0</v>
      </c>
      <c r="J72" s="21">
        <f>IF(D72-I72&lt;=Alíquotas!$G$5, 0, IF(D72-I72&lt;=Alíquotas!$G$6, D72*Alíquotas!$H$6, IF(D72-I72&lt;=Alíquotas!$G$7, D72*Alíquotas!$H$7, IF(D72-I72&lt;=Alíquotas!$G$8, D72*Alíquotas!$H$8, D72*Alíquotas!$H$9))))</f>
        <v>0</v>
      </c>
      <c r="K72" s="21">
        <f t="shared" si="13"/>
        <v>0</v>
      </c>
      <c r="L72" s="21">
        <f t="shared" si="14"/>
        <v>0</v>
      </c>
      <c r="M72" s="21">
        <f t="shared" ref="M72:M135" si="16">DECIMO_TERCEIRO($D72)</f>
        <v>0</v>
      </c>
      <c r="N72" s="21">
        <f t="shared" si="11"/>
        <v>0</v>
      </c>
      <c r="O72" s="21">
        <f t="shared" ref="O72:O135" si="17">PROP_FERIAS($D72)</f>
        <v>0</v>
      </c>
    </row>
    <row r="73" spans="1:15" x14ac:dyDescent="0.25">
      <c r="A73" s="19"/>
      <c r="B73" s="20"/>
      <c r="C73" s="20"/>
      <c r="D73" s="21"/>
      <c r="E73" s="31"/>
      <c r="F73" s="21">
        <f t="shared" si="12"/>
        <v>0</v>
      </c>
      <c r="G73" s="31"/>
      <c r="H73" s="21">
        <f t="shared" si="15"/>
        <v>0</v>
      </c>
      <c r="I73" s="21">
        <f>INSS($D73,Alíquotas!$C$5,Alíquotas!$C$6,Alíquotas!$C$7)</f>
        <v>0</v>
      </c>
      <c r="J73" s="21">
        <f>IF(D73-I73&lt;=Alíquotas!$G$5, 0, IF(D73-I73&lt;=Alíquotas!$G$6, D73*Alíquotas!$H$6, IF(D73-I73&lt;=Alíquotas!$G$7, D73*Alíquotas!$H$7, IF(D73-I73&lt;=Alíquotas!$G$8, D73*Alíquotas!$H$8, D73*Alíquotas!$H$9))))</f>
        <v>0</v>
      </c>
      <c r="K73" s="21">
        <f t="shared" si="13"/>
        <v>0</v>
      </c>
      <c r="L73" s="21">
        <f t="shared" si="14"/>
        <v>0</v>
      </c>
      <c r="M73" s="21">
        <f t="shared" si="16"/>
        <v>0</v>
      </c>
      <c r="N73" s="21">
        <f t="shared" si="11"/>
        <v>0</v>
      </c>
      <c r="O73" s="21">
        <f t="shared" si="17"/>
        <v>0</v>
      </c>
    </row>
    <row r="74" spans="1:15" x14ac:dyDescent="0.25">
      <c r="A74" s="19"/>
      <c r="B74" s="20"/>
      <c r="C74" s="20"/>
      <c r="D74" s="21"/>
      <c r="E74" s="31"/>
      <c r="F74" s="21">
        <f t="shared" si="12"/>
        <v>0</v>
      </c>
      <c r="G74" s="31"/>
      <c r="H74" s="21">
        <f t="shared" si="15"/>
        <v>0</v>
      </c>
      <c r="I74" s="21">
        <f>INSS($D74,Alíquotas!$C$5,Alíquotas!$C$6,Alíquotas!$C$7)</f>
        <v>0</v>
      </c>
      <c r="J74" s="21">
        <f>IF(D74-I74&lt;=Alíquotas!$G$5, 0, IF(D74-I74&lt;=Alíquotas!$G$6, D74*Alíquotas!$H$6, IF(D74-I74&lt;=Alíquotas!$G$7, D74*Alíquotas!$H$7, IF(D74-I74&lt;=Alíquotas!$G$8, D74*Alíquotas!$H$8, D74*Alíquotas!$H$9))))</f>
        <v>0</v>
      </c>
      <c r="K74" s="21">
        <f t="shared" si="13"/>
        <v>0</v>
      </c>
      <c r="L74" s="21">
        <f t="shared" si="14"/>
        <v>0</v>
      </c>
      <c r="M74" s="21">
        <f t="shared" si="16"/>
        <v>0</v>
      </c>
      <c r="N74" s="21">
        <f t="shared" si="11"/>
        <v>0</v>
      </c>
      <c r="O74" s="21">
        <f t="shared" si="17"/>
        <v>0</v>
      </c>
    </row>
    <row r="75" spans="1:15" x14ac:dyDescent="0.25">
      <c r="A75" s="19"/>
      <c r="B75" s="20"/>
      <c r="C75" s="20"/>
      <c r="D75" s="21"/>
      <c r="E75" s="31"/>
      <c r="F75" s="21">
        <f t="shared" si="12"/>
        <v>0</v>
      </c>
      <c r="G75" s="31"/>
      <c r="H75" s="21">
        <f t="shared" si="15"/>
        <v>0</v>
      </c>
      <c r="I75" s="21">
        <f>INSS($D75,Alíquotas!$C$5,Alíquotas!$C$6,Alíquotas!$C$7)</f>
        <v>0</v>
      </c>
      <c r="J75" s="21">
        <f>IF(D75-I75&lt;=Alíquotas!$G$5, 0, IF(D75-I75&lt;=Alíquotas!$G$6, D75*Alíquotas!$H$6, IF(D75-I75&lt;=Alíquotas!$G$7, D75*Alíquotas!$H$7, IF(D75-I75&lt;=Alíquotas!$G$8, D75*Alíquotas!$H$8, D75*Alíquotas!$H$9))))</f>
        <v>0</v>
      </c>
      <c r="K75" s="21">
        <f t="shared" si="13"/>
        <v>0</v>
      </c>
      <c r="L75" s="21">
        <f t="shared" si="14"/>
        <v>0</v>
      </c>
      <c r="M75" s="21">
        <f t="shared" si="16"/>
        <v>0</v>
      </c>
      <c r="N75" s="21">
        <f t="shared" si="11"/>
        <v>0</v>
      </c>
      <c r="O75" s="21">
        <f t="shared" si="17"/>
        <v>0</v>
      </c>
    </row>
    <row r="76" spans="1:15" x14ac:dyDescent="0.25">
      <c r="A76" s="19"/>
      <c r="B76" s="20"/>
      <c r="C76" s="20"/>
      <c r="D76" s="21"/>
      <c r="E76" s="31"/>
      <c r="F76" s="21">
        <f t="shared" si="12"/>
        <v>0</v>
      </c>
      <c r="G76" s="31"/>
      <c r="H76" s="21">
        <f t="shared" si="15"/>
        <v>0</v>
      </c>
      <c r="I76" s="21">
        <f>INSS($D76,Alíquotas!$C$5,Alíquotas!$C$6,Alíquotas!$C$7)</f>
        <v>0</v>
      </c>
      <c r="J76" s="21">
        <f>IF(D76-I76&lt;=Alíquotas!$G$5, 0, IF(D76-I76&lt;=Alíquotas!$G$6, D76*Alíquotas!$H$6, IF(D76-I76&lt;=Alíquotas!$G$7, D76*Alíquotas!$H$7, IF(D76-I76&lt;=Alíquotas!$G$8, D76*Alíquotas!$H$8, D76*Alíquotas!$H$9))))</f>
        <v>0</v>
      </c>
      <c r="K76" s="21">
        <f t="shared" si="13"/>
        <v>0</v>
      </c>
      <c r="L76" s="21">
        <f t="shared" si="14"/>
        <v>0</v>
      </c>
      <c r="M76" s="21">
        <f t="shared" si="16"/>
        <v>0</v>
      </c>
      <c r="N76" s="21">
        <f t="shared" si="11"/>
        <v>0</v>
      </c>
      <c r="O76" s="21">
        <f t="shared" si="17"/>
        <v>0</v>
      </c>
    </row>
    <row r="77" spans="1:15" x14ac:dyDescent="0.25">
      <c r="A77" s="19"/>
      <c r="B77" s="20"/>
      <c r="C77" s="20"/>
      <c r="D77" s="21"/>
      <c r="E77" s="31"/>
      <c r="F77" s="21">
        <f t="shared" si="12"/>
        <v>0</v>
      </c>
      <c r="G77" s="31"/>
      <c r="H77" s="21">
        <f t="shared" si="15"/>
        <v>0</v>
      </c>
      <c r="I77" s="21">
        <f>INSS($D77,Alíquotas!$C$5,Alíquotas!$C$6,Alíquotas!$C$7)</f>
        <v>0</v>
      </c>
      <c r="J77" s="21">
        <f>IF(D77-I77&lt;=Alíquotas!$G$5, 0, IF(D77-I77&lt;=Alíquotas!$G$6, D77*Alíquotas!$H$6, IF(D77-I77&lt;=Alíquotas!$G$7, D77*Alíquotas!$H$7, IF(D77-I77&lt;=Alíquotas!$G$8, D77*Alíquotas!$H$8, D77*Alíquotas!$H$9))))</f>
        <v>0</v>
      </c>
      <c r="K77" s="21">
        <f t="shared" si="13"/>
        <v>0</v>
      </c>
      <c r="L77" s="21">
        <f t="shared" si="14"/>
        <v>0</v>
      </c>
      <c r="M77" s="21">
        <f t="shared" si="16"/>
        <v>0</v>
      </c>
      <c r="N77" s="21">
        <f t="shared" si="11"/>
        <v>0</v>
      </c>
      <c r="O77" s="21">
        <f t="shared" si="17"/>
        <v>0</v>
      </c>
    </row>
    <row r="78" spans="1:15" x14ac:dyDescent="0.25">
      <c r="A78" s="19"/>
      <c r="B78" s="20"/>
      <c r="C78" s="20"/>
      <c r="D78" s="21"/>
      <c r="E78" s="31"/>
      <c r="F78" s="21">
        <f t="shared" si="12"/>
        <v>0</v>
      </c>
      <c r="G78" s="31"/>
      <c r="H78" s="21">
        <f t="shared" si="15"/>
        <v>0</v>
      </c>
      <c r="I78" s="21">
        <f>INSS($D78,Alíquotas!$C$5,Alíquotas!$C$6,Alíquotas!$C$7)</f>
        <v>0</v>
      </c>
      <c r="J78" s="21">
        <f>IF(D78-I78&lt;=Alíquotas!$G$5, 0, IF(D78-I78&lt;=Alíquotas!$G$6, D78*Alíquotas!$H$6, IF(D78-I78&lt;=Alíquotas!$G$7, D78*Alíquotas!$H$7, IF(D78-I78&lt;=Alíquotas!$G$8, D78*Alíquotas!$H$8, D78*Alíquotas!$H$9))))</f>
        <v>0</v>
      </c>
      <c r="K78" s="21">
        <f t="shared" si="13"/>
        <v>0</v>
      </c>
      <c r="L78" s="21">
        <f t="shared" si="14"/>
        <v>0</v>
      </c>
      <c r="M78" s="21">
        <f t="shared" si="16"/>
        <v>0</v>
      </c>
      <c r="N78" s="21">
        <f t="shared" si="11"/>
        <v>0</v>
      </c>
      <c r="O78" s="21">
        <f t="shared" si="17"/>
        <v>0</v>
      </c>
    </row>
    <row r="79" spans="1:15" x14ac:dyDescent="0.25">
      <c r="A79" s="19"/>
      <c r="B79" s="20"/>
      <c r="C79" s="20"/>
      <c r="D79" s="21"/>
      <c r="E79" s="31"/>
      <c r="F79" s="21">
        <f t="shared" si="12"/>
        <v>0</v>
      </c>
      <c r="G79" s="31"/>
      <c r="H79" s="21">
        <f t="shared" si="15"/>
        <v>0</v>
      </c>
      <c r="I79" s="21">
        <f>INSS($D79,Alíquotas!$C$5,Alíquotas!$C$6,Alíquotas!$C$7)</f>
        <v>0</v>
      </c>
      <c r="J79" s="21">
        <f>IF(D79-I79&lt;=Alíquotas!$G$5, 0, IF(D79-I79&lt;=Alíquotas!$G$6, D79*Alíquotas!$H$6, IF(D79-I79&lt;=Alíquotas!$G$7, D79*Alíquotas!$H$7, IF(D79-I79&lt;=Alíquotas!$G$8, D79*Alíquotas!$H$8, D79*Alíquotas!$H$9))))</f>
        <v>0</v>
      </c>
      <c r="K79" s="21">
        <f t="shared" si="13"/>
        <v>0</v>
      </c>
      <c r="L79" s="21">
        <f t="shared" si="14"/>
        <v>0</v>
      </c>
      <c r="M79" s="21">
        <f t="shared" si="16"/>
        <v>0</v>
      </c>
      <c r="N79" s="21">
        <f t="shared" si="11"/>
        <v>0</v>
      </c>
      <c r="O79" s="21">
        <f t="shared" si="17"/>
        <v>0</v>
      </c>
    </row>
    <row r="80" spans="1:15" x14ac:dyDescent="0.25">
      <c r="A80" s="19"/>
      <c r="B80" s="20"/>
      <c r="C80" s="20"/>
      <c r="D80" s="21"/>
      <c r="E80" s="31"/>
      <c r="F80" s="21">
        <f t="shared" si="12"/>
        <v>0</v>
      </c>
      <c r="G80" s="31"/>
      <c r="H80" s="21">
        <f t="shared" si="15"/>
        <v>0</v>
      </c>
      <c r="I80" s="21">
        <f>INSS($D80,Alíquotas!$C$5,Alíquotas!$C$6,Alíquotas!$C$7)</f>
        <v>0</v>
      </c>
      <c r="J80" s="21">
        <f>IF(D80-I80&lt;=Alíquotas!$G$5, 0, IF(D80-I80&lt;=Alíquotas!$G$6, D80*Alíquotas!$H$6, IF(D80-I80&lt;=Alíquotas!$G$7, D80*Alíquotas!$H$7, IF(D80-I80&lt;=Alíquotas!$G$8, D80*Alíquotas!$H$8, D80*Alíquotas!$H$9))))</f>
        <v>0</v>
      </c>
      <c r="K80" s="21">
        <f t="shared" si="13"/>
        <v>0</v>
      </c>
      <c r="L80" s="21">
        <f t="shared" si="14"/>
        <v>0</v>
      </c>
      <c r="M80" s="21">
        <f t="shared" si="16"/>
        <v>0</v>
      </c>
      <c r="N80" s="21">
        <f t="shared" si="11"/>
        <v>0</v>
      </c>
      <c r="O80" s="21">
        <f t="shared" si="17"/>
        <v>0</v>
      </c>
    </row>
    <row r="81" spans="1:15" x14ac:dyDescent="0.25">
      <c r="A81" s="19"/>
      <c r="B81" s="20"/>
      <c r="C81" s="20"/>
      <c r="D81" s="21"/>
      <c r="E81" s="31"/>
      <c r="F81" s="21">
        <f t="shared" si="12"/>
        <v>0</v>
      </c>
      <c r="G81" s="31"/>
      <c r="H81" s="21">
        <f t="shared" si="15"/>
        <v>0</v>
      </c>
      <c r="I81" s="21">
        <f>INSS($D81,Alíquotas!$C$5,Alíquotas!$C$6,Alíquotas!$C$7)</f>
        <v>0</v>
      </c>
      <c r="J81" s="21">
        <f>IF(D81-I81&lt;=Alíquotas!$G$5, 0, IF(D81-I81&lt;=Alíquotas!$G$6, D81*Alíquotas!$H$6, IF(D81-I81&lt;=Alíquotas!$G$7, D81*Alíquotas!$H$7, IF(D81-I81&lt;=Alíquotas!$G$8, D81*Alíquotas!$H$8, D81*Alíquotas!$H$9))))</f>
        <v>0</v>
      </c>
      <c r="K81" s="21">
        <f t="shared" si="13"/>
        <v>0</v>
      </c>
      <c r="L81" s="21">
        <f t="shared" si="14"/>
        <v>0</v>
      </c>
      <c r="M81" s="21">
        <f t="shared" si="16"/>
        <v>0</v>
      </c>
      <c r="N81" s="21">
        <f t="shared" si="11"/>
        <v>0</v>
      </c>
      <c r="O81" s="21">
        <f t="shared" si="17"/>
        <v>0</v>
      </c>
    </row>
    <row r="82" spans="1:15" x14ac:dyDescent="0.25">
      <c r="A82" s="19"/>
      <c r="B82" s="20"/>
      <c r="C82" s="20"/>
      <c r="D82" s="21"/>
      <c r="E82" s="31"/>
      <c r="F82" s="21">
        <f t="shared" si="12"/>
        <v>0</v>
      </c>
      <c r="G82" s="31"/>
      <c r="H82" s="21">
        <f t="shared" si="15"/>
        <v>0</v>
      </c>
      <c r="I82" s="21">
        <f>INSS($D82,Alíquotas!$C$5,Alíquotas!$C$6,Alíquotas!$C$7)</f>
        <v>0</v>
      </c>
      <c r="J82" s="21">
        <f>IF(D82-I82&lt;=Alíquotas!$G$5, 0, IF(D82-I82&lt;=Alíquotas!$G$6, D82*Alíquotas!$H$6, IF(D82-I82&lt;=Alíquotas!$G$7, D82*Alíquotas!$H$7, IF(D82-I82&lt;=Alíquotas!$G$8, D82*Alíquotas!$H$8, D82*Alíquotas!$H$9))))</f>
        <v>0</v>
      </c>
      <c r="K82" s="21">
        <f t="shared" si="13"/>
        <v>0</v>
      </c>
      <c r="L82" s="21">
        <f t="shared" si="14"/>
        <v>0</v>
      </c>
      <c r="M82" s="21">
        <f t="shared" si="16"/>
        <v>0</v>
      </c>
      <c r="N82" s="21">
        <f t="shared" si="11"/>
        <v>0</v>
      </c>
      <c r="O82" s="21">
        <f t="shared" si="17"/>
        <v>0</v>
      </c>
    </row>
    <row r="83" spans="1:15" x14ac:dyDescent="0.25">
      <c r="A83" s="19"/>
      <c r="B83" s="20"/>
      <c r="C83" s="20"/>
      <c r="D83" s="21"/>
      <c r="E83" s="31"/>
      <c r="F83" s="21">
        <f t="shared" si="12"/>
        <v>0</v>
      </c>
      <c r="G83" s="31"/>
      <c r="H83" s="21">
        <f t="shared" si="15"/>
        <v>0</v>
      </c>
      <c r="I83" s="21">
        <f>INSS($D83,Alíquotas!$C$5,Alíquotas!$C$6,Alíquotas!$C$7)</f>
        <v>0</v>
      </c>
      <c r="J83" s="21">
        <f>IF(D83-I83&lt;=Alíquotas!$G$5, 0, IF(D83-I83&lt;=Alíquotas!$G$6, D83*Alíquotas!$H$6, IF(D83-I83&lt;=Alíquotas!$G$7, D83*Alíquotas!$H$7, IF(D83-I83&lt;=Alíquotas!$G$8, D83*Alíquotas!$H$8, D83*Alíquotas!$H$9))))</f>
        <v>0</v>
      </c>
      <c r="K83" s="21">
        <f t="shared" si="13"/>
        <v>0</v>
      </c>
      <c r="L83" s="21">
        <f t="shared" si="14"/>
        <v>0</v>
      </c>
      <c r="M83" s="21">
        <f t="shared" si="16"/>
        <v>0</v>
      </c>
      <c r="N83" s="21">
        <f t="shared" si="11"/>
        <v>0</v>
      </c>
      <c r="O83" s="21">
        <f t="shared" si="17"/>
        <v>0</v>
      </c>
    </row>
    <row r="84" spans="1:15" x14ac:dyDescent="0.25">
      <c r="A84" s="19"/>
      <c r="B84" s="20"/>
      <c r="C84" s="20"/>
      <c r="D84" s="21"/>
      <c r="E84" s="31"/>
      <c r="F84" s="21">
        <f t="shared" si="12"/>
        <v>0</v>
      </c>
      <c r="G84" s="31"/>
      <c r="H84" s="21">
        <f t="shared" si="15"/>
        <v>0</v>
      </c>
      <c r="I84" s="21">
        <f>INSS($D84,Alíquotas!$C$5,Alíquotas!$C$6,Alíquotas!$C$7)</f>
        <v>0</v>
      </c>
      <c r="J84" s="21">
        <f>IF(D84-I84&lt;=Alíquotas!$G$5, 0, IF(D84-I84&lt;=Alíquotas!$G$6, D84*Alíquotas!$H$6, IF(D84-I84&lt;=Alíquotas!$G$7, D84*Alíquotas!$H$7, IF(D84-I84&lt;=Alíquotas!$G$8, D84*Alíquotas!$H$8, D84*Alíquotas!$H$9))))</f>
        <v>0</v>
      </c>
      <c r="K84" s="21">
        <f t="shared" si="13"/>
        <v>0</v>
      </c>
      <c r="L84" s="21">
        <f t="shared" si="14"/>
        <v>0</v>
      </c>
      <c r="M84" s="21">
        <f t="shared" si="16"/>
        <v>0</v>
      </c>
      <c r="N84" s="21">
        <f t="shared" si="11"/>
        <v>0</v>
      </c>
      <c r="O84" s="21">
        <f t="shared" si="17"/>
        <v>0</v>
      </c>
    </row>
    <row r="85" spans="1:15" x14ac:dyDescent="0.25">
      <c r="A85" s="19"/>
      <c r="B85" s="20"/>
      <c r="C85" s="20"/>
      <c r="D85" s="21"/>
      <c r="E85" s="31"/>
      <c r="F85" s="21">
        <f t="shared" si="12"/>
        <v>0</v>
      </c>
      <c r="G85" s="31"/>
      <c r="H85" s="21">
        <f t="shared" si="15"/>
        <v>0</v>
      </c>
      <c r="I85" s="21">
        <f>INSS($D85,Alíquotas!$C$5,Alíquotas!$C$6,Alíquotas!$C$7)</f>
        <v>0</v>
      </c>
      <c r="J85" s="21">
        <f>IF(D85-I85&lt;=Alíquotas!$G$5, 0, IF(D85-I85&lt;=Alíquotas!$G$6, D85*Alíquotas!$H$6, IF(D85-I85&lt;=Alíquotas!$G$7, D85*Alíquotas!$H$7, IF(D85-I85&lt;=Alíquotas!$G$8, D85*Alíquotas!$H$8, D85*Alíquotas!$H$9))))</f>
        <v>0</v>
      </c>
      <c r="K85" s="21">
        <f t="shared" si="13"/>
        <v>0</v>
      </c>
      <c r="L85" s="21">
        <f t="shared" si="14"/>
        <v>0</v>
      </c>
      <c r="M85" s="21">
        <f t="shared" si="16"/>
        <v>0</v>
      </c>
      <c r="N85" s="21">
        <f t="shared" si="11"/>
        <v>0</v>
      </c>
      <c r="O85" s="21">
        <f t="shared" si="17"/>
        <v>0</v>
      </c>
    </row>
    <row r="86" spans="1:15" x14ac:dyDescent="0.25">
      <c r="A86" s="19"/>
      <c r="B86" s="20"/>
      <c r="C86" s="20"/>
      <c r="D86" s="21"/>
      <c r="E86" s="31"/>
      <c r="F86" s="21">
        <f t="shared" si="12"/>
        <v>0</v>
      </c>
      <c r="G86" s="31"/>
      <c r="H86" s="21">
        <f t="shared" si="15"/>
        <v>0</v>
      </c>
      <c r="I86" s="21">
        <f>INSS($D86,Alíquotas!$C$5,Alíquotas!$C$6,Alíquotas!$C$7)</f>
        <v>0</v>
      </c>
      <c r="J86" s="21">
        <f>IF(D86-I86&lt;=Alíquotas!$G$5, 0, IF(D86-I86&lt;=Alíquotas!$G$6, D86*Alíquotas!$H$6, IF(D86-I86&lt;=Alíquotas!$G$7, D86*Alíquotas!$H$7, IF(D86-I86&lt;=Alíquotas!$G$8, D86*Alíquotas!$H$8, D86*Alíquotas!$H$9))))</f>
        <v>0</v>
      </c>
      <c r="K86" s="21">
        <f t="shared" si="13"/>
        <v>0</v>
      </c>
      <c r="L86" s="21">
        <f t="shared" si="14"/>
        <v>0</v>
      </c>
      <c r="M86" s="21">
        <f t="shared" si="16"/>
        <v>0</v>
      </c>
      <c r="N86" s="21">
        <f t="shared" si="11"/>
        <v>0</v>
      </c>
      <c r="O86" s="21">
        <f t="shared" si="17"/>
        <v>0</v>
      </c>
    </row>
    <row r="87" spans="1:15" x14ac:dyDescent="0.25">
      <c r="A87" s="19"/>
      <c r="B87" s="20"/>
      <c r="C87" s="20"/>
      <c r="D87" s="21"/>
      <c r="E87" s="31"/>
      <c r="F87" s="21">
        <f t="shared" si="12"/>
        <v>0</v>
      </c>
      <c r="G87" s="31"/>
      <c r="H87" s="21">
        <f t="shared" si="15"/>
        <v>0</v>
      </c>
      <c r="I87" s="21">
        <f>INSS($D87,Alíquotas!$C$5,Alíquotas!$C$6,Alíquotas!$C$7)</f>
        <v>0</v>
      </c>
      <c r="J87" s="21">
        <f>IF(D87-I87&lt;=Alíquotas!$G$5, 0, IF(D87-I87&lt;=Alíquotas!$G$6, D87*Alíquotas!$H$6, IF(D87-I87&lt;=Alíquotas!$G$7, D87*Alíquotas!$H$7, IF(D87-I87&lt;=Alíquotas!$G$8, D87*Alíquotas!$H$8, D87*Alíquotas!$H$9))))</f>
        <v>0</v>
      </c>
      <c r="K87" s="21">
        <f t="shared" si="13"/>
        <v>0</v>
      </c>
      <c r="L87" s="21">
        <f t="shared" si="14"/>
        <v>0</v>
      </c>
      <c r="M87" s="21">
        <f t="shared" si="16"/>
        <v>0</v>
      </c>
      <c r="N87" s="21">
        <f t="shared" ref="N87:N150" si="18">FERIAS($O87,$D87)</f>
        <v>0</v>
      </c>
      <c r="O87" s="21">
        <f t="shared" si="17"/>
        <v>0</v>
      </c>
    </row>
    <row r="88" spans="1:15" x14ac:dyDescent="0.25">
      <c r="A88" s="19"/>
      <c r="B88" s="20"/>
      <c r="C88" s="20"/>
      <c r="D88" s="21"/>
      <c r="E88" s="31"/>
      <c r="F88" s="21">
        <f t="shared" si="12"/>
        <v>0</v>
      </c>
      <c r="G88" s="31"/>
      <c r="H88" s="21">
        <f t="shared" si="15"/>
        <v>0</v>
      </c>
      <c r="I88" s="21">
        <f>INSS($D88,Alíquotas!$C$5,Alíquotas!$C$6,Alíquotas!$C$7)</f>
        <v>0</v>
      </c>
      <c r="J88" s="21">
        <f>IF(D88-I88&lt;=Alíquotas!$G$5, 0, IF(D88-I88&lt;=Alíquotas!$G$6, D88*Alíquotas!$H$6, IF(D88-I88&lt;=Alíquotas!$G$7, D88*Alíquotas!$H$7, IF(D88-I88&lt;=Alíquotas!$G$8, D88*Alíquotas!$H$8, D88*Alíquotas!$H$9))))</f>
        <v>0</v>
      </c>
      <c r="K88" s="21">
        <f t="shared" si="13"/>
        <v>0</v>
      </c>
      <c r="L88" s="21">
        <f t="shared" si="14"/>
        <v>0</v>
      </c>
      <c r="M88" s="21">
        <f t="shared" si="16"/>
        <v>0</v>
      </c>
      <c r="N88" s="21">
        <f t="shared" si="18"/>
        <v>0</v>
      </c>
      <c r="O88" s="21">
        <f t="shared" si="17"/>
        <v>0</v>
      </c>
    </row>
    <row r="89" spans="1:15" x14ac:dyDescent="0.25">
      <c r="A89" s="19"/>
      <c r="B89" s="20"/>
      <c r="C89" s="20"/>
      <c r="D89" s="21"/>
      <c r="E89" s="31"/>
      <c r="F89" s="21">
        <f t="shared" si="12"/>
        <v>0</v>
      </c>
      <c r="G89" s="31"/>
      <c r="H89" s="21">
        <f t="shared" si="15"/>
        <v>0</v>
      </c>
      <c r="I89" s="21">
        <f>INSS($D89,Alíquotas!$C$5,Alíquotas!$C$6,Alíquotas!$C$7)</f>
        <v>0</v>
      </c>
      <c r="J89" s="21">
        <f>IF(D89-I89&lt;=Alíquotas!$G$5, 0, IF(D89-I89&lt;=Alíquotas!$G$6, D89*Alíquotas!$H$6, IF(D89-I89&lt;=Alíquotas!$G$7, D89*Alíquotas!$H$7, IF(D89-I89&lt;=Alíquotas!$G$8, D89*Alíquotas!$H$8, D89*Alíquotas!$H$9))))</f>
        <v>0</v>
      </c>
      <c r="K89" s="21">
        <f t="shared" si="13"/>
        <v>0</v>
      </c>
      <c r="L89" s="21">
        <f t="shared" si="14"/>
        <v>0</v>
      </c>
      <c r="M89" s="21">
        <f t="shared" si="16"/>
        <v>0</v>
      </c>
      <c r="N89" s="21">
        <f t="shared" si="18"/>
        <v>0</v>
      </c>
      <c r="O89" s="21">
        <f t="shared" si="17"/>
        <v>0</v>
      </c>
    </row>
    <row r="90" spans="1:15" x14ac:dyDescent="0.25">
      <c r="A90" s="19"/>
      <c r="B90" s="20"/>
      <c r="C90" s="20"/>
      <c r="D90" s="21"/>
      <c r="E90" s="31"/>
      <c r="F90" s="21">
        <f t="shared" si="12"/>
        <v>0</v>
      </c>
      <c r="G90" s="31"/>
      <c r="H90" s="21">
        <f t="shared" si="15"/>
        <v>0</v>
      </c>
      <c r="I90" s="21">
        <f>INSS($D90,Alíquotas!$C$5,Alíquotas!$C$6,Alíquotas!$C$7)</f>
        <v>0</v>
      </c>
      <c r="J90" s="21">
        <f>IF(D90-I90&lt;=Alíquotas!$G$5, 0, IF(D90-I90&lt;=Alíquotas!$G$6, D90*Alíquotas!$H$6, IF(D90-I90&lt;=Alíquotas!$G$7, D90*Alíquotas!$H$7, IF(D90-I90&lt;=Alíquotas!$G$8, D90*Alíquotas!$H$8, D90*Alíquotas!$H$9))))</f>
        <v>0</v>
      </c>
      <c r="K90" s="21">
        <f t="shared" si="13"/>
        <v>0</v>
      </c>
      <c r="L90" s="21">
        <f t="shared" si="14"/>
        <v>0</v>
      </c>
      <c r="M90" s="21">
        <f t="shared" si="16"/>
        <v>0</v>
      </c>
      <c r="N90" s="21">
        <f t="shared" si="18"/>
        <v>0</v>
      </c>
      <c r="O90" s="21">
        <f t="shared" si="17"/>
        <v>0</v>
      </c>
    </row>
    <row r="91" spans="1:15" x14ac:dyDescent="0.25">
      <c r="A91" s="19"/>
      <c r="B91" s="20"/>
      <c r="C91" s="20"/>
      <c r="D91" s="21"/>
      <c r="E91" s="31"/>
      <c r="F91" s="21">
        <f t="shared" si="12"/>
        <v>0</v>
      </c>
      <c r="G91" s="31"/>
      <c r="H91" s="21">
        <f t="shared" si="15"/>
        <v>0</v>
      </c>
      <c r="I91" s="21">
        <f>INSS($D91,Alíquotas!$C$5,Alíquotas!$C$6,Alíquotas!$C$7)</f>
        <v>0</v>
      </c>
      <c r="J91" s="21">
        <f>IF(D91-I91&lt;=Alíquotas!$G$5, 0, IF(D91-I91&lt;=Alíquotas!$G$6, D91*Alíquotas!$H$6, IF(D91-I91&lt;=Alíquotas!$G$7, D91*Alíquotas!$H$7, IF(D91-I91&lt;=Alíquotas!$G$8, D91*Alíquotas!$H$8, D91*Alíquotas!$H$9))))</f>
        <v>0</v>
      </c>
      <c r="K91" s="21">
        <f t="shared" si="13"/>
        <v>0</v>
      </c>
      <c r="L91" s="21">
        <f t="shared" si="14"/>
        <v>0</v>
      </c>
      <c r="M91" s="21">
        <f t="shared" si="16"/>
        <v>0</v>
      </c>
      <c r="N91" s="21">
        <f t="shared" si="18"/>
        <v>0</v>
      </c>
      <c r="O91" s="21">
        <f t="shared" si="17"/>
        <v>0</v>
      </c>
    </row>
    <row r="92" spans="1:15" x14ac:dyDescent="0.25">
      <c r="A92" s="19"/>
      <c r="B92" s="20"/>
      <c r="C92" s="20"/>
      <c r="D92" s="21"/>
      <c r="E92" s="31"/>
      <c r="F92" s="21">
        <f t="shared" si="12"/>
        <v>0</v>
      </c>
      <c r="G92" s="31"/>
      <c r="H92" s="21">
        <f t="shared" si="15"/>
        <v>0</v>
      </c>
      <c r="I92" s="21">
        <f>INSS($D92,Alíquotas!$C$5,Alíquotas!$C$6,Alíquotas!$C$7)</f>
        <v>0</v>
      </c>
      <c r="J92" s="21">
        <f>IF(D92-I92&lt;=Alíquotas!$G$5, 0, IF(D92-I92&lt;=Alíquotas!$G$6, D92*Alíquotas!$H$6, IF(D92-I92&lt;=Alíquotas!$G$7, D92*Alíquotas!$H$7, IF(D92-I92&lt;=Alíquotas!$G$8, D92*Alíquotas!$H$8, D92*Alíquotas!$H$9))))</f>
        <v>0</v>
      </c>
      <c r="K92" s="21">
        <f t="shared" si="13"/>
        <v>0</v>
      </c>
      <c r="L92" s="21">
        <f t="shared" si="14"/>
        <v>0</v>
      </c>
      <c r="M92" s="21">
        <f t="shared" si="16"/>
        <v>0</v>
      </c>
      <c r="N92" s="21">
        <f t="shared" si="18"/>
        <v>0</v>
      </c>
      <c r="O92" s="21">
        <f t="shared" si="17"/>
        <v>0</v>
      </c>
    </row>
    <row r="93" spans="1:15" x14ac:dyDescent="0.25">
      <c r="A93" s="19"/>
      <c r="B93" s="20"/>
      <c r="C93" s="20"/>
      <c r="D93" s="21"/>
      <c r="E93" s="31"/>
      <c r="F93" s="21">
        <f t="shared" si="12"/>
        <v>0</v>
      </c>
      <c r="G93" s="31"/>
      <c r="H93" s="21">
        <f t="shared" si="15"/>
        <v>0</v>
      </c>
      <c r="I93" s="21">
        <f>INSS($D93,Alíquotas!$C$5,Alíquotas!$C$6,Alíquotas!$C$7)</f>
        <v>0</v>
      </c>
      <c r="J93" s="21">
        <f>IF(D93-I93&lt;=Alíquotas!$G$5, 0, IF(D93-I93&lt;=Alíquotas!$G$6, D93*Alíquotas!$H$6, IF(D93-I93&lt;=Alíquotas!$G$7, D93*Alíquotas!$H$7, IF(D93-I93&lt;=Alíquotas!$G$8, D93*Alíquotas!$H$8, D93*Alíquotas!$H$9))))</f>
        <v>0</v>
      </c>
      <c r="K93" s="21">
        <f t="shared" si="13"/>
        <v>0</v>
      </c>
      <c r="L93" s="21">
        <f t="shared" si="14"/>
        <v>0</v>
      </c>
      <c r="M93" s="21">
        <f t="shared" si="16"/>
        <v>0</v>
      </c>
      <c r="N93" s="21">
        <f t="shared" si="18"/>
        <v>0</v>
      </c>
      <c r="O93" s="21">
        <f t="shared" si="17"/>
        <v>0</v>
      </c>
    </row>
    <row r="94" spans="1:15" x14ac:dyDescent="0.25">
      <c r="A94" s="19"/>
      <c r="B94" s="20"/>
      <c r="C94" s="20"/>
      <c r="D94" s="21"/>
      <c r="E94" s="31"/>
      <c r="F94" s="21">
        <f t="shared" si="12"/>
        <v>0</v>
      </c>
      <c r="G94" s="31"/>
      <c r="H94" s="21">
        <f t="shared" si="15"/>
        <v>0</v>
      </c>
      <c r="I94" s="21">
        <f>INSS($D94,Alíquotas!$C$5,Alíquotas!$C$6,Alíquotas!$C$7)</f>
        <v>0</v>
      </c>
      <c r="J94" s="21">
        <f>IF(D94-I94&lt;=Alíquotas!$G$5, 0, IF(D94-I94&lt;=Alíquotas!$G$6, D94*Alíquotas!$H$6, IF(D94-I94&lt;=Alíquotas!$G$7, D94*Alíquotas!$H$7, IF(D94-I94&lt;=Alíquotas!$G$8, D94*Alíquotas!$H$8, D94*Alíquotas!$H$9))))</f>
        <v>0</v>
      </c>
      <c r="K94" s="21">
        <f t="shared" si="13"/>
        <v>0</v>
      </c>
      <c r="L94" s="21">
        <f t="shared" si="14"/>
        <v>0</v>
      </c>
      <c r="M94" s="21">
        <f t="shared" si="16"/>
        <v>0</v>
      </c>
      <c r="N94" s="21">
        <f t="shared" si="18"/>
        <v>0</v>
      </c>
      <c r="O94" s="21">
        <f t="shared" si="17"/>
        <v>0</v>
      </c>
    </row>
    <row r="95" spans="1:15" x14ac:dyDescent="0.25">
      <c r="A95" s="19"/>
      <c r="B95" s="20"/>
      <c r="C95" s="20"/>
      <c r="D95" s="21"/>
      <c r="E95" s="31"/>
      <c r="F95" s="21">
        <f t="shared" si="12"/>
        <v>0</v>
      </c>
      <c r="G95" s="31"/>
      <c r="H95" s="21">
        <f t="shared" si="15"/>
        <v>0</v>
      </c>
      <c r="I95" s="21">
        <f>INSS($D95,Alíquotas!$C$5,Alíquotas!$C$6,Alíquotas!$C$7)</f>
        <v>0</v>
      </c>
      <c r="J95" s="21">
        <f>IF(D95-I95&lt;=Alíquotas!$G$5, 0, IF(D95-I95&lt;=Alíquotas!$G$6, D95*Alíquotas!$H$6, IF(D95-I95&lt;=Alíquotas!$G$7, D95*Alíquotas!$H$7, IF(D95-I95&lt;=Alíquotas!$G$8, D95*Alíquotas!$H$8, D95*Alíquotas!$H$9))))</f>
        <v>0</v>
      </c>
      <c r="K95" s="21">
        <f t="shared" si="13"/>
        <v>0</v>
      </c>
      <c r="L95" s="21">
        <f t="shared" si="14"/>
        <v>0</v>
      </c>
      <c r="M95" s="21">
        <f t="shared" si="16"/>
        <v>0</v>
      </c>
      <c r="N95" s="21">
        <f t="shared" si="18"/>
        <v>0</v>
      </c>
      <c r="O95" s="21">
        <f t="shared" si="17"/>
        <v>0</v>
      </c>
    </row>
    <row r="96" spans="1:15" x14ac:dyDescent="0.25">
      <c r="A96" s="19"/>
      <c r="B96" s="20"/>
      <c r="C96" s="20"/>
      <c r="D96" s="21"/>
      <c r="E96" s="31"/>
      <c r="F96" s="21">
        <f t="shared" si="12"/>
        <v>0</v>
      </c>
      <c r="G96" s="31"/>
      <c r="H96" s="21">
        <f t="shared" si="15"/>
        <v>0</v>
      </c>
      <c r="I96" s="21">
        <f>INSS($D96,Alíquotas!$C$5,Alíquotas!$C$6,Alíquotas!$C$7)</f>
        <v>0</v>
      </c>
      <c r="J96" s="21">
        <f>IF(D96-I96&lt;=Alíquotas!$G$5, 0, IF(D96-I96&lt;=Alíquotas!$G$6, D96*Alíquotas!$H$6, IF(D96-I96&lt;=Alíquotas!$G$7, D96*Alíquotas!$H$7, IF(D96-I96&lt;=Alíquotas!$G$8, D96*Alíquotas!$H$8, D96*Alíquotas!$H$9))))</f>
        <v>0</v>
      </c>
      <c r="K96" s="21">
        <f t="shared" si="13"/>
        <v>0</v>
      </c>
      <c r="L96" s="21">
        <f t="shared" si="14"/>
        <v>0</v>
      </c>
      <c r="M96" s="21">
        <f t="shared" si="16"/>
        <v>0</v>
      </c>
      <c r="N96" s="21">
        <f t="shared" si="18"/>
        <v>0</v>
      </c>
      <c r="O96" s="21">
        <f t="shared" si="17"/>
        <v>0</v>
      </c>
    </row>
    <row r="97" spans="1:15" x14ac:dyDescent="0.25">
      <c r="A97" s="19"/>
      <c r="B97" s="20"/>
      <c r="C97" s="20"/>
      <c r="D97" s="21"/>
      <c r="E97" s="31"/>
      <c r="F97" s="21">
        <f t="shared" si="12"/>
        <v>0</v>
      </c>
      <c r="G97" s="31"/>
      <c r="H97" s="21">
        <f t="shared" si="15"/>
        <v>0</v>
      </c>
      <c r="I97" s="21">
        <f>INSS($D97,Alíquotas!$C$5,Alíquotas!$C$6,Alíquotas!$C$7)</f>
        <v>0</v>
      </c>
      <c r="J97" s="21">
        <f>IF(D97-I97&lt;=Alíquotas!$G$5, 0, IF(D97-I97&lt;=Alíquotas!$G$6, D97*Alíquotas!$H$6, IF(D97-I97&lt;=Alíquotas!$G$7, D97*Alíquotas!$H$7, IF(D97-I97&lt;=Alíquotas!$G$8, D97*Alíquotas!$H$8, D97*Alíquotas!$H$9))))</f>
        <v>0</v>
      </c>
      <c r="K97" s="21">
        <f t="shared" si="13"/>
        <v>0</v>
      </c>
      <c r="L97" s="21">
        <f t="shared" si="14"/>
        <v>0</v>
      </c>
      <c r="M97" s="21">
        <f t="shared" si="16"/>
        <v>0</v>
      </c>
      <c r="N97" s="21">
        <f t="shared" si="18"/>
        <v>0</v>
      </c>
      <c r="O97" s="21">
        <f t="shared" si="17"/>
        <v>0</v>
      </c>
    </row>
    <row r="98" spans="1:15" x14ac:dyDescent="0.25">
      <c r="A98" s="19"/>
      <c r="B98" s="20"/>
      <c r="C98" s="20"/>
      <c r="D98" s="21"/>
      <c r="E98" s="31"/>
      <c r="F98" s="21">
        <f t="shared" si="12"/>
        <v>0</v>
      </c>
      <c r="G98" s="31"/>
      <c r="H98" s="21">
        <f t="shared" si="15"/>
        <v>0</v>
      </c>
      <c r="I98" s="21">
        <f>INSS($D98,Alíquotas!$C$5,Alíquotas!$C$6,Alíquotas!$C$7)</f>
        <v>0</v>
      </c>
      <c r="J98" s="21">
        <f>IF(D98-I98&lt;=Alíquotas!$G$5, 0, IF(D98-I98&lt;=Alíquotas!$G$6, D98*Alíquotas!$H$6, IF(D98-I98&lt;=Alíquotas!$G$7, D98*Alíquotas!$H$7, IF(D98-I98&lt;=Alíquotas!$G$8, D98*Alíquotas!$H$8, D98*Alíquotas!$H$9))))</f>
        <v>0</v>
      </c>
      <c r="K98" s="21">
        <f t="shared" si="13"/>
        <v>0</v>
      </c>
      <c r="L98" s="21">
        <f t="shared" si="14"/>
        <v>0</v>
      </c>
      <c r="M98" s="21">
        <f t="shared" si="16"/>
        <v>0</v>
      </c>
      <c r="N98" s="21">
        <f t="shared" si="18"/>
        <v>0</v>
      </c>
      <c r="O98" s="21">
        <f t="shared" si="17"/>
        <v>0</v>
      </c>
    </row>
    <row r="99" spans="1:15" x14ac:dyDescent="0.25">
      <c r="A99" s="19"/>
      <c r="B99" s="20"/>
      <c r="C99" s="20"/>
      <c r="D99" s="21"/>
      <c r="E99" s="31"/>
      <c r="F99" s="21">
        <f t="shared" si="12"/>
        <v>0</v>
      </c>
      <c r="G99" s="31"/>
      <c r="H99" s="21">
        <f t="shared" si="15"/>
        <v>0</v>
      </c>
      <c r="I99" s="21">
        <f>INSS($D99,Alíquotas!$C$5,Alíquotas!$C$6,Alíquotas!$C$7)</f>
        <v>0</v>
      </c>
      <c r="J99" s="21">
        <f>IF(D99-I99&lt;=Alíquotas!$G$5, 0, IF(D99-I99&lt;=Alíquotas!$G$6, D99*Alíquotas!$H$6, IF(D99-I99&lt;=Alíquotas!$G$7, D99*Alíquotas!$H$7, IF(D99-I99&lt;=Alíquotas!$G$8, D99*Alíquotas!$H$8, D99*Alíquotas!$H$9))))</f>
        <v>0</v>
      </c>
      <c r="K99" s="21">
        <f t="shared" si="13"/>
        <v>0</v>
      </c>
      <c r="L99" s="21">
        <f t="shared" si="14"/>
        <v>0</v>
      </c>
      <c r="M99" s="21">
        <f t="shared" si="16"/>
        <v>0</v>
      </c>
      <c r="N99" s="21">
        <f t="shared" si="18"/>
        <v>0</v>
      </c>
      <c r="O99" s="21">
        <f t="shared" si="17"/>
        <v>0</v>
      </c>
    </row>
    <row r="100" spans="1:15" x14ac:dyDescent="0.25">
      <c r="A100" s="19"/>
      <c r="B100" s="20"/>
      <c r="C100" s="20"/>
      <c r="D100" s="21"/>
      <c r="E100" s="31"/>
      <c r="F100" s="21">
        <f t="shared" si="12"/>
        <v>0</v>
      </c>
      <c r="G100" s="31"/>
      <c r="H100" s="21">
        <f t="shared" si="15"/>
        <v>0</v>
      </c>
      <c r="I100" s="21">
        <f>INSS($D100,Alíquotas!$C$5,Alíquotas!$C$6,Alíquotas!$C$7)</f>
        <v>0</v>
      </c>
      <c r="J100" s="21">
        <f>IF(D100-I100&lt;=Alíquotas!$G$5, 0, IF(D100-I100&lt;=Alíquotas!$G$6, D100*Alíquotas!$H$6, IF(D100-I100&lt;=Alíquotas!$G$7, D100*Alíquotas!$H$7, IF(D100-I100&lt;=Alíquotas!$G$8, D100*Alíquotas!$H$8, D100*Alíquotas!$H$9))))</f>
        <v>0</v>
      </c>
      <c r="K100" s="21">
        <f t="shared" si="13"/>
        <v>0</v>
      </c>
      <c r="L100" s="21">
        <f t="shared" si="14"/>
        <v>0</v>
      </c>
      <c r="M100" s="21">
        <f t="shared" si="16"/>
        <v>0</v>
      </c>
      <c r="N100" s="21">
        <f t="shared" si="18"/>
        <v>0</v>
      </c>
      <c r="O100" s="21">
        <f t="shared" si="17"/>
        <v>0</v>
      </c>
    </row>
    <row r="101" spans="1:15" x14ac:dyDescent="0.25">
      <c r="A101" s="19"/>
      <c r="B101" s="20"/>
      <c r="C101" s="20"/>
      <c r="D101" s="21"/>
      <c r="E101" s="31"/>
      <c r="F101" s="21">
        <f t="shared" si="12"/>
        <v>0</v>
      </c>
      <c r="G101" s="31"/>
      <c r="H101" s="21">
        <f t="shared" si="15"/>
        <v>0</v>
      </c>
      <c r="I101" s="21">
        <f>INSS($D101,Alíquotas!$C$5,Alíquotas!$C$6,Alíquotas!$C$7)</f>
        <v>0</v>
      </c>
      <c r="J101" s="21">
        <f>IF(D101-I101&lt;=Alíquotas!$G$5, 0, IF(D101-I101&lt;=Alíquotas!$G$6, D101*Alíquotas!$H$6, IF(D101-I101&lt;=Alíquotas!$G$7, D101*Alíquotas!$H$7, IF(D101-I101&lt;=Alíquotas!$G$8, D101*Alíquotas!$H$8, D101*Alíquotas!$H$9))))</f>
        <v>0</v>
      </c>
      <c r="K101" s="21">
        <f t="shared" si="13"/>
        <v>0</v>
      </c>
      <c r="L101" s="21">
        <f t="shared" si="14"/>
        <v>0</v>
      </c>
      <c r="M101" s="21">
        <f t="shared" si="16"/>
        <v>0</v>
      </c>
      <c r="N101" s="21">
        <f t="shared" si="18"/>
        <v>0</v>
      </c>
      <c r="O101" s="21">
        <f t="shared" si="17"/>
        <v>0</v>
      </c>
    </row>
    <row r="102" spans="1:15" x14ac:dyDescent="0.25">
      <c r="A102" s="19"/>
      <c r="B102" s="20"/>
      <c r="C102" s="20"/>
      <c r="D102" s="21"/>
      <c r="E102" s="31"/>
      <c r="F102" s="21">
        <f t="shared" si="12"/>
        <v>0</v>
      </c>
      <c r="G102" s="31"/>
      <c r="H102" s="21">
        <f t="shared" si="15"/>
        <v>0</v>
      </c>
      <c r="I102" s="21">
        <f>INSS($D102,Alíquotas!$C$5,Alíquotas!$C$6,Alíquotas!$C$7)</f>
        <v>0</v>
      </c>
      <c r="J102" s="21">
        <f>IF(D102-I102&lt;=Alíquotas!$G$5, 0, IF(D102-I102&lt;=Alíquotas!$G$6, D102*Alíquotas!$H$6, IF(D102-I102&lt;=Alíquotas!$G$7, D102*Alíquotas!$H$7, IF(D102-I102&lt;=Alíquotas!$G$8, D102*Alíquotas!$H$8, D102*Alíquotas!$H$9))))</f>
        <v>0</v>
      </c>
      <c r="K102" s="21">
        <f t="shared" si="13"/>
        <v>0</v>
      </c>
      <c r="L102" s="21">
        <f t="shared" si="14"/>
        <v>0</v>
      </c>
      <c r="M102" s="21">
        <f t="shared" si="16"/>
        <v>0</v>
      </c>
      <c r="N102" s="21">
        <f t="shared" si="18"/>
        <v>0</v>
      </c>
      <c r="O102" s="21">
        <f t="shared" si="17"/>
        <v>0</v>
      </c>
    </row>
    <row r="103" spans="1:15" x14ac:dyDescent="0.25">
      <c r="A103" s="19"/>
      <c r="B103" s="20"/>
      <c r="C103" s="20"/>
      <c r="D103" s="21"/>
      <c r="E103" s="31"/>
      <c r="F103" s="21">
        <f t="shared" si="12"/>
        <v>0</v>
      </c>
      <c r="G103" s="31"/>
      <c r="H103" s="21">
        <f t="shared" si="15"/>
        <v>0</v>
      </c>
      <c r="I103" s="21">
        <f>INSS($D103,Alíquotas!$C$5,Alíquotas!$C$6,Alíquotas!$C$7)</f>
        <v>0</v>
      </c>
      <c r="J103" s="21">
        <f>IF(D103-I103&lt;=Alíquotas!$G$5, 0, IF(D103-I103&lt;=Alíquotas!$G$6, D103*Alíquotas!$H$6, IF(D103-I103&lt;=Alíquotas!$G$7, D103*Alíquotas!$H$7, IF(D103-I103&lt;=Alíquotas!$G$8, D103*Alíquotas!$H$8, D103*Alíquotas!$H$9))))</f>
        <v>0</v>
      </c>
      <c r="K103" s="21">
        <f t="shared" si="13"/>
        <v>0</v>
      </c>
      <c r="L103" s="21">
        <f t="shared" si="14"/>
        <v>0</v>
      </c>
      <c r="M103" s="21">
        <f t="shared" si="16"/>
        <v>0</v>
      </c>
      <c r="N103" s="21">
        <f t="shared" si="18"/>
        <v>0</v>
      </c>
      <c r="O103" s="21">
        <f t="shared" si="17"/>
        <v>0</v>
      </c>
    </row>
    <row r="104" spans="1:15" x14ac:dyDescent="0.25">
      <c r="A104" s="19"/>
      <c r="B104" s="20"/>
      <c r="C104" s="20"/>
      <c r="D104" s="21"/>
      <c r="E104" s="31"/>
      <c r="F104" s="21">
        <f t="shared" si="12"/>
        <v>0</v>
      </c>
      <c r="G104" s="31"/>
      <c r="H104" s="21">
        <f t="shared" si="15"/>
        <v>0</v>
      </c>
      <c r="I104" s="21">
        <f>INSS($D104,Alíquotas!$C$5,Alíquotas!$C$6,Alíquotas!$C$7)</f>
        <v>0</v>
      </c>
      <c r="J104" s="21">
        <f>IF(D104-I104&lt;=Alíquotas!$G$5, 0, IF(D104-I104&lt;=Alíquotas!$G$6, D104*Alíquotas!$H$6, IF(D104-I104&lt;=Alíquotas!$G$7, D104*Alíquotas!$H$7, IF(D104-I104&lt;=Alíquotas!$G$8, D104*Alíquotas!$H$8, D104*Alíquotas!$H$9))))</f>
        <v>0</v>
      </c>
      <c r="K104" s="21">
        <f t="shared" si="13"/>
        <v>0</v>
      </c>
      <c r="L104" s="21">
        <f t="shared" si="14"/>
        <v>0</v>
      </c>
      <c r="M104" s="21">
        <f t="shared" si="16"/>
        <v>0</v>
      </c>
      <c r="N104" s="21">
        <f t="shared" si="18"/>
        <v>0</v>
      </c>
      <c r="O104" s="21">
        <f t="shared" si="17"/>
        <v>0</v>
      </c>
    </row>
    <row r="105" spans="1:15" x14ac:dyDescent="0.25">
      <c r="A105" s="19"/>
      <c r="B105" s="20"/>
      <c r="C105" s="20"/>
      <c r="D105" s="21"/>
      <c r="E105" s="31"/>
      <c r="F105" s="21">
        <f t="shared" ref="F105:F168" si="19">HORA_EXTRA(D105,E105)</f>
        <v>0</v>
      </c>
      <c r="G105" s="31"/>
      <c r="H105" s="21">
        <f t="shared" si="15"/>
        <v>0</v>
      </c>
      <c r="I105" s="21">
        <f>INSS($D105,Alíquotas!$C$5,Alíquotas!$C$6,Alíquotas!$C$7)</f>
        <v>0</v>
      </c>
      <c r="J105" s="21">
        <f>IF(D105-I105&lt;=Alíquotas!$G$5, 0, IF(D105-I105&lt;=Alíquotas!$G$6, D105*Alíquotas!$H$6, IF(D105-I105&lt;=Alíquotas!$G$7, D105*Alíquotas!$H$7, IF(D105-I105&lt;=Alíquotas!$G$8, D105*Alíquotas!$H$8, D105*Alíquotas!$H$9))))</f>
        <v>0</v>
      </c>
      <c r="K105" s="21">
        <f t="shared" ref="K105:K168" si="20">SUM(H105+I105+J105)</f>
        <v>0</v>
      </c>
      <c r="L105" s="21">
        <f t="shared" ref="L105:L168" si="21">D105-K105+F105</f>
        <v>0</v>
      </c>
      <c r="M105" s="21">
        <f t="shared" si="16"/>
        <v>0</v>
      </c>
      <c r="N105" s="21">
        <f t="shared" si="18"/>
        <v>0</v>
      </c>
      <c r="O105" s="21">
        <f t="shared" si="17"/>
        <v>0</v>
      </c>
    </row>
    <row r="106" spans="1:15" x14ac:dyDescent="0.25">
      <c r="A106" s="19"/>
      <c r="B106" s="20"/>
      <c r="C106" s="20"/>
      <c r="D106" s="21"/>
      <c r="E106" s="31"/>
      <c r="F106" s="21">
        <f t="shared" si="19"/>
        <v>0</v>
      </c>
      <c r="G106" s="31"/>
      <c r="H106" s="21">
        <f t="shared" si="15"/>
        <v>0</v>
      </c>
      <c r="I106" s="21">
        <f>INSS($D106,Alíquotas!$C$5,Alíquotas!$C$6,Alíquotas!$C$7)</f>
        <v>0</v>
      </c>
      <c r="J106" s="21">
        <f>IF(D106-I106&lt;=Alíquotas!$G$5, 0, IF(D106-I106&lt;=Alíquotas!$G$6, D106*Alíquotas!$H$6, IF(D106-I106&lt;=Alíquotas!$G$7, D106*Alíquotas!$H$7, IF(D106-I106&lt;=Alíquotas!$G$8, D106*Alíquotas!$H$8, D106*Alíquotas!$H$9))))</f>
        <v>0</v>
      </c>
      <c r="K106" s="21">
        <f t="shared" si="20"/>
        <v>0</v>
      </c>
      <c r="L106" s="21">
        <f t="shared" si="21"/>
        <v>0</v>
      </c>
      <c r="M106" s="21">
        <f t="shared" si="16"/>
        <v>0</v>
      </c>
      <c r="N106" s="21">
        <f t="shared" si="18"/>
        <v>0</v>
      </c>
      <c r="O106" s="21">
        <f t="shared" si="17"/>
        <v>0</v>
      </c>
    </row>
    <row r="107" spans="1:15" x14ac:dyDescent="0.25">
      <c r="A107" s="19"/>
      <c r="B107" s="20"/>
      <c r="C107" s="20"/>
      <c r="D107" s="21"/>
      <c r="E107" s="31"/>
      <c r="F107" s="21">
        <f t="shared" si="19"/>
        <v>0</v>
      </c>
      <c r="G107" s="31"/>
      <c r="H107" s="21">
        <f t="shared" si="15"/>
        <v>0</v>
      </c>
      <c r="I107" s="21">
        <f>INSS($D107,Alíquotas!$C$5,Alíquotas!$C$6,Alíquotas!$C$7)</f>
        <v>0</v>
      </c>
      <c r="J107" s="21">
        <f>IF(D107-I107&lt;=Alíquotas!$G$5, 0, IF(D107-I107&lt;=Alíquotas!$G$6, D107*Alíquotas!$H$6, IF(D107-I107&lt;=Alíquotas!$G$7, D107*Alíquotas!$H$7, IF(D107-I107&lt;=Alíquotas!$G$8, D107*Alíquotas!$H$8, D107*Alíquotas!$H$9))))</f>
        <v>0</v>
      </c>
      <c r="K107" s="21">
        <f t="shared" si="20"/>
        <v>0</v>
      </c>
      <c r="L107" s="21">
        <f t="shared" si="21"/>
        <v>0</v>
      </c>
      <c r="M107" s="21">
        <f t="shared" si="16"/>
        <v>0</v>
      </c>
      <c r="N107" s="21">
        <f t="shared" si="18"/>
        <v>0</v>
      </c>
      <c r="O107" s="21">
        <f t="shared" si="17"/>
        <v>0</v>
      </c>
    </row>
    <row r="108" spans="1:15" x14ac:dyDescent="0.25">
      <c r="A108" s="19"/>
      <c r="B108" s="20"/>
      <c r="C108" s="20"/>
      <c r="D108" s="21"/>
      <c r="E108" s="31"/>
      <c r="F108" s="21">
        <f t="shared" si="19"/>
        <v>0</v>
      </c>
      <c r="G108" s="31"/>
      <c r="H108" s="21">
        <f t="shared" si="15"/>
        <v>0</v>
      </c>
      <c r="I108" s="21">
        <f>INSS($D108,Alíquotas!$C$5,Alíquotas!$C$6,Alíquotas!$C$7)</f>
        <v>0</v>
      </c>
      <c r="J108" s="21">
        <f>IF(D108-I108&lt;=Alíquotas!$G$5, 0, IF(D108-I108&lt;=Alíquotas!$G$6, D108*Alíquotas!$H$6, IF(D108-I108&lt;=Alíquotas!$G$7, D108*Alíquotas!$H$7, IF(D108-I108&lt;=Alíquotas!$G$8, D108*Alíquotas!$H$8, D108*Alíquotas!$H$9))))</f>
        <v>0</v>
      </c>
      <c r="K108" s="21">
        <f t="shared" si="20"/>
        <v>0</v>
      </c>
      <c r="L108" s="21">
        <f t="shared" si="21"/>
        <v>0</v>
      </c>
      <c r="M108" s="21">
        <f t="shared" si="16"/>
        <v>0</v>
      </c>
      <c r="N108" s="21">
        <f t="shared" si="18"/>
        <v>0</v>
      </c>
      <c r="O108" s="21">
        <f t="shared" si="17"/>
        <v>0</v>
      </c>
    </row>
    <row r="109" spans="1:15" x14ac:dyDescent="0.25">
      <c r="A109" s="19"/>
      <c r="B109" s="20"/>
      <c r="C109" s="20"/>
      <c r="D109" s="21"/>
      <c r="E109" s="31"/>
      <c r="F109" s="21">
        <f t="shared" si="19"/>
        <v>0</v>
      </c>
      <c r="G109" s="31"/>
      <c r="H109" s="21">
        <f t="shared" si="15"/>
        <v>0</v>
      </c>
      <c r="I109" s="21">
        <f>INSS($D109,Alíquotas!$C$5,Alíquotas!$C$6,Alíquotas!$C$7)</f>
        <v>0</v>
      </c>
      <c r="J109" s="21">
        <f>IF(D109-I109&lt;=Alíquotas!$G$5, 0, IF(D109-I109&lt;=Alíquotas!$G$6, D109*Alíquotas!$H$6, IF(D109-I109&lt;=Alíquotas!$G$7, D109*Alíquotas!$H$7, IF(D109-I109&lt;=Alíquotas!$G$8, D109*Alíquotas!$H$8, D109*Alíquotas!$H$9))))</f>
        <v>0</v>
      </c>
      <c r="K109" s="21">
        <f t="shared" si="20"/>
        <v>0</v>
      </c>
      <c r="L109" s="21">
        <f t="shared" si="21"/>
        <v>0</v>
      </c>
      <c r="M109" s="21">
        <f t="shared" si="16"/>
        <v>0</v>
      </c>
      <c r="N109" s="21">
        <f t="shared" si="18"/>
        <v>0</v>
      </c>
      <c r="O109" s="21">
        <f t="shared" si="17"/>
        <v>0</v>
      </c>
    </row>
    <row r="110" spans="1:15" x14ac:dyDescent="0.25">
      <c r="A110" s="19"/>
      <c r="B110" s="20"/>
      <c r="C110" s="20"/>
      <c r="D110" s="21"/>
      <c r="E110" s="31"/>
      <c r="F110" s="21">
        <f t="shared" si="19"/>
        <v>0</v>
      </c>
      <c r="G110" s="31"/>
      <c r="H110" s="21">
        <f t="shared" si="15"/>
        <v>0</v>
      </c>
      <c r="I110" s="21">
        <f>INSS($D110,Alíquotas!$C$5,Alíquotas!$C$6,Alíquotas!$C$7)</f>
        <v>0</v>
      </c>
      <c r="J110" s="21">
        <f>IF(D110-I110&lt;=Alíquotas!$G$5, 0, IF(D110-I110&lt;=Alíquotas!$G$6, D110*Alíquotas!$H$6, IF(D110-I110&lt;=Alíquotas!$G$7, D110*Alíquotas!$H$7, IF(D110-I110&lt;=Alíquotas!$G$8, D110*Alíquotas!$H$8, D110*Alíquotas!$H$9))))</f>
        <v>0</v>
      </c>
      <c r="K110" s="21">
        <f t="shared" si="20"/>
        <v>0</v>
      </c>
      <c r="L110" s="21">
        <f t="shared" si="21"/>
        <v>0</v>
      </c>
      <c r="M110" s="21">
        <f t="shared" si="16"/>
        <v>0</v>
      </c>
      <c r="N110" s="21">
        <f t="shared" si="18"/>
        <v>0</v>
      </c>
      <c r="O110" s="21">
        <f t="shared" si="17"/>
        <v>0</v>
      </c>
    </row>
    <row r="111" spans="1:15" x14ac:dyDescent="0.25">
      <c r="A111" s="19"/>
      <c r="B111" s="20"/>
      <c r="C111" s="20"/>
      <c r="D111" s="21"/>
      <c r="E111" s="31"/>
      <c r="F111" s="21">
        <f t="shared" si="19"/>
        <v>0</v>
      </c>
      <c r="G111" s="31"/>
      <c r="H111" s="21">
        <f t="shared" si="15"/>
        <v>0</v>
      </c>
      <c r="I111" s="21">
        <f>INSS($D111,Alíquotas!$C$5,Alíquotas!$C$6,Alíquotas!$C$7)</f>
        <v>0</v>
      </c>
      <c r="J111" s="21">
        <f>IF(D111-I111&lt;=Alíquotas!$G$5, 0, IF(D111-I111&lt;=Alíquotas!$G$6, D111*Alíquotas!$H$6, IF(D111-I111&lt;=Alíquotas!$G$7, D111*Alíquotas!$H$7, IF(D111-I111&lt;=Alíquotas!$G$8, D111*Alíquotas!$H$8, D111*Alíquotas!$H$9))))</f>
        <v>0</v>
      </c>
      <c r="K111" s="21">
        <f t="shared" si="20"/>
        <v>0</v>
      </c>
      <c r="L111" s="21">
        <f t="shared" si="21"/>
        <v>0</v>
      </c>
      <c r="M111" s="21">
        <f t="shared" si="16"/>
        <v>0</v>
      </c>
      <c r="N111" s="21">
        <f t="shared" si="18"/>
        <v>0</v>
      </c>
      <c r="O111" s="21">
        <f t="shared" si="17"/>
        <v>0</v>
      </c>
    </row>
    <row r="112" spans="1:15" x14ac:dyDescent="0.25">
      <c r="A112" s="19"/>
      <c r="B112" s="20"/>
      <c r="C112" s="20"/>
      <c r="D112" s="21"/>
      <c r="E112" s="31"/>
      <c r="F112" s="21">
        <f t="shared" si="19"/>
        <v>0</v>
      </c>
      <c r="G112" s="31"/>
      <c r="H112" s="21">
        <f t="shared" si="15"/>
        <v>0</v>
      </c>
      <c r="I112" s="21">
        <f>INSS($D112,Alíquotas!$C$5,Alíquotas!$C$6,Alíquotas!$C$7)</f>
        <v>0</v>
      </c>
      <c r="J112" s="21">
        <f>IF(D112-I112&lt;=Alíquotas!$G$5, 0, IF(D112-I112&lt;=Alíquotas!$G$6, D112*Alíquotas!$H$6, IF(D112-I112&lt;=Alíquotas!$G$7, D112*Alíquotas!$H$7, IF(D112-I112&lt;=Alíquotas!$G$8, D112*Alíquotas!$H$8, D112*Alíquotas!$H$9))))</f>
        <v>0</v>
      </c>
      <c r="K112" s="21">
        <f t="shared" si="20"/>
        <v>0</v>
      </c>
      <c r="L112" s="21">
        <f t="shared" si="21"/>
        <v>0</v>
      </c>
      <c r="M112" s="21">
        <f t="shared" si="16"/>
        <v>0</v>
      </c>
      <c r="N112" s="21">
        <f t="shared" si="18"/>
        <v>0</v>
      </c>
      <c r="O112" s="21">
        <f t="shared" si="17"/>
        <v>0</v>
      </c>
    </row>
    <row r="113" spans="1:15" x14ac:dyDescent="0.25">
      <c r="A113" s="19"/>
      <c r="B113" s="20"/>
      <c r="C113" s="20"/>
      <c r="D113" s="21"/>
      <c r="E113" s="31"/>
      <c r="F113" s="21">
        <f t="shared" si="19"/>
        <v>0</v>
      </c>
      <c r="G113" s="31"/>
      <c r="H113" s="21">
        <f t="shared" si="15"/>
        <v>0</v>
      </c>
      <c r="I113" s="21">
        <f>INSS($D113,Alíquotas!$C$5,Alíquotas!$C$6,Alíquotas!$C$7)</f>
        <v>0</v>
      </c>
      <c r="J113" s="21">
        <f>IF(D113-I113&lt;=Alíquotas!$G$5, 0, IF(D113-I113&lt;=Alíquotas!$G$6, D113*Alíquotas!$H$6, IF(D113-I113&lt;=Alíquotas!$G$7, D113*Alíquotas!$H$7, IF(D113-I113&lt;=Alíquotas!$G$8, D113*Alíquotas!$H$8, D113*Alíquotas!$H$9))))</f>
        <v>0</v>
      </c>
      <c r="K113" s="21">
        <f t="shared" si="20"/>
        <v>0</v>
      </c>
      <c r="L113" s="21">
        <f t="shared" si="21"/>
        <v>0</v>
      </c>
      <c r="M113" s="21">
        <f t="shared" si="16"/>
        <v>0</v>
      </c>
      <c r="N113" s="21">
        <f t="shared" si="18"/>
        <v>0</v>
      </c>
      <c r="O113" s="21">
        <f t="shared" si="17"/>
        <v>0</v>
      </c>
    </row>
    <row r="114" spans="1:15" x14ac:dyDescent="0.25">
      <c r="A114" s="19"/>
      <c r="B114" s="20"/>
      <c r="C114" s="20"/>
      <c r="D114" s="21"/>
      <c r="E114" s="31"/>
      <c r="F114" s="21">
        <f t="shared" si="19"/>
        <v>0</v>
      </c>
      <c r="G114" s="31"/>
      <c r="H114" s="21">
        <f t="shared" si="15"/>
        <v>0</v>
      </c>
      <c r="I114" s="21">
        <f>INSS($D114,Alíquotas!$C$5,Alíquotas!$C$6,Alíquotas!$C$7)</f>
        <v>0</v>
      </c>
      <c r="J114" s="21">
        <f>IF(D114-I114&lt;=Alíquotas!$G$5, 0, IF(D114-I114&lt;=Alíquotas!$G$6, D114*Alíquotas!$H$6, IF(D114-I114&lt;=Alíquotas!$G$7, D114*Alíquotas!$H$7, IF(D114-I114&lt;=Alíquotas!$G$8, D114*Alíquotas!$H$8, D114*Alíquotas!$H$9))))</f>
        <v>0</v>
      </c>
      <c r="K114" s="21">
        <f t="shared" si="20"/>
        <v>0</v>
      </c>
      <c r="L114" s="21">
        <f t="shared" si="21"/>
        <v>0</v>
      </c>
      <c r="M114" s="21">
        <f t="shared" si="16"/>
        <v>0</v>
      </c>
      <c r="N114" s="21">
        <f t="shared" si="18"/>
        <v>0</v>
      </c>
      <c r="O114" s="21">
        <f t="shared" si="17"/>
        <v>0</v>
      </c>
    </row>
    <row r="115" spans="1:15" x14ac:dyDescent="0.25">
      <c r="A115" s="19"/>
      <c r="B115" s="20"/>
      <c r="C115" s="20"/>
      <c r="D115" s="21"/>
      <c r="E115" s="31"/>
      <c r="F115" s="21">
        <f t="shared" si="19"/>
        <v>0</v>
      </c>
      <c r="G115" s="31"/>
      <c r="H115" s="21">
        <f t="shared" si="15"/>
        <v>0</v>
      </c>
      <c r="I115" s="21">
        <f>INSS($D115,Alíquotas!$C$5,Alíquotas!$C$6,Alíquotas!$C$7)</f>
        <v>0</v>
      </c>
      <c r="J115" s="21">
        <f>IF(D115-I115&lt;=Alíquotas!$G$5, 0, IF(D115-I115&lt;=Alíquotas!$G$6, D115*Alíquotas!$H$6, IF(D115-I115&lt;=Alíquotas!$G$7, D115*Alíquotas!$H$7, IF(D115-I115&lt;=Alíquotas!$G$8, D115*Alíquotas!$H$8, D115*Alíquotas!$H$9))))</f>
        <v>0</v>
      </c>
      <c r="K115" s="21">
        <f t="shared" si="20"/>
        <v>0</v>
      </c>
      <c r="L115" s="21">
        <f t="shared" si="21"/>
        <v>0</v>
      </c>
      <c r="M115" s="21">
        <f t="shared" si="16"/>
        <v>0</v>
      </c>
      <c r="N115" s="21">
        <f t="shared" si="18"/>
        <v>0</v>
      </c>
      <c r="O115" s="21">
        <f t="shared" si="17"/>
        <v>0</v>
      </c>
    </row>
    <row r="116" spans="1:15" x14ac:dyDescent="0.25">
      <c r="A116" s="19"/>
      <c r="B116" s="20"/>
      <c r="C116" s="20"/>
      <c r="D116" s="21"/>
      <c r="E116" s="31"/>
      <c r="F116" s="21">
        <f t="shared" si="19"/>
        <v>0</v>
      </c>
      <c r="G116" s="31"/>
      <c r="H116" s="21">
        <f t="shared" si="15"/>
        <v>0</v>
      </c>
      <c r="I116" s="21">
        <f>INSS($D116,Alíquotas!$C$5,Alíquotas!$C$6,Alíquotas!$C$7)</f>
        <v>0</v>
      </c>
      <c r="J116" s="21">
        <f>IF(D116-I116&lt;=Alíquotas!$G$5, 0, IF(D116-I116&lt;=Alíquotas!$G$6, D116*Alíquotas!$H$6, IF(D116-I116&lt;=Alíquotas!$G$7, D116*Alíquotas!$H$7, IF(D116-I116&lt;=Alíquotas!$G$8, D116*Alíquotas!$H$8, D116*Alíquotas!$H$9))))</f>
        <v>0</v>
      </c>
      <c r="K116" s="21">
        <f t="shared" si="20"/>
        <v>0</v>
      </c>
      <c r="L116" s="21">
        <f t="shared" si="21"/>
        <v>0</v>
      </c>
      <c r="M116" s="21">
        <f t="shared" si="16"/>
        <v>0</v>
      </c>
      <c r="N116" s="21">
        <f t="shared" si="18"/>
        <v>0</v>
      </c>
      <c r="O116" s="21">
        <f t="shared" si="17"/>
        <v>0</v>
      </c>
    </row>
    <row r="117" spans="1:15" x14ac:dyDescent="0.25">
      <c r="A117" s="19"/>
      <c r="B117" s="20"/>
      <c r="C117" s="20"/>
      <c r="D117" s="21"/>
      <c r="E117" s="31"/>
      <c r="F117" s="21">
        <f t="shared" si="19"/>
        <v>0</v>
      </c>
      <c r="G117" s="31"/>
      <c r="H117" s="21">
        <f t="shared" si="15"/>
        <v>0</v>
      </c>
      <c r="I117" s="21">
        <f>INSS($D117,Alíquotas!$C$5,Alíquotas!$C$6,Alíquotas!$C$7)</f>
        <v>0</v>
      </c>
      <c r="J117" s="21">
        <f>IF(D117-I117&lt;=Alíquotas!$G$5, 0, IF(D117-I117&lt;=Alíquotas!$G$6, D117*Alíquotas!$H$6, IF(D117-I117&lt;=Alíquotas!$G$7, D117*Alíquotas!$H$7, IF(D117-I117&lt;=Alíquotas!$G$8, D117*Alíquotas!$H$8, D117*Alíquotas!$H$9))))</f>
        <v>0</v>
      </c>
      <c r="K117" s="21">
        <f t="shared" si="20"/>
        <v>0</v>
      </c>
      <c r="L117" s="21">
        <f t="shared" si="21"/>
        <v>0</v>
      </c>
      <c r="M117" s="21">
        <f t="shared" si="16"/>
        <v>0</v>
      </c>
      <c r="N117" s="21">
        <f t="shared" si="18"/>
        <v>0</v>
      </c>
      <c r="O117" s="21">
        <f t="shared" si="17"/>
        <v>0</v>
      </c>
    </row>
    <row r="118" spans="1:15" x14ac:dyDescent="0.25">
      <c r="A118" s="19"/>
      <c r="B118" s="20"/>
      <c r="C118" s="20"/>
      <c r="D118" s="21"/>
      <c r="E118" s="31"/>
      <c r="F118" s="21">
        <f t="shared" si="19"/>
        <v>0</v>
      </c>
      <c r="G118" s="31"/>
      <c r="H118" s="21">
        <f t="shared" si="15"/>
        <v>0</v>
      </c>
      <c r="I118" s="21">
        <f>INSS($D118,Alíquotas!$C$5,Alíquotas!$C$6,Alíquotas!$C$7)</f>
        <v>0</v>
      </c>
      <c r="J118" s="21">
        <f>IF(D118-I118&lt;=Alíquotas!$G$5, 0, IF(D118-I118&lt;=Alíquotas!$G$6, D118*Alíquotas!$H$6, IF(D118-I118&lt;=Alíquotas!$G$7, D118*Alíquotas!$H$7, IF(D118-I118&lt;=Alíquotas!$G$8, D118*Alíquotas!$H$8, D118*Alíquotas!$H$9))))</f>
        <v>0</v>
      </c>
      <c r="K118" s="21">
        <f t="shared" si="20"/>
        <v>0</v>
      </c>
      <c r="L118" s="21">
        <f t="shared" si="21"/>
        <v>0</v>
      </c>
      <c r="M118" s="21">
        <f t="shared" si="16"/>
        <v>0</v>
      </c>
      <c r="N118" s="21">
        <f t="shared" si="18"/>
        <v>0</v>
      </c>
      <c r="O118" s="21">
        <f t="shared" si="17"/>
        <v>0</v>
      </c>
    </row>
    <row r="119" spans="1:15" x14ac:dyDescent="0.25">
      <c r="A119" s="19"/>
      <c r="B119" s="20"/>
      <c r="C119" s="20"/>
      <c r="D119" s="21"/>
      <c r="E119" s="31"/>
      <c r="F119" s="21">
        <f t="shared" si="19"/>
        <v>0</v>
      </c>
      <c r="G119" s="31"/>
      <c r="H119" s="21">
        <f t="shared" si="15"/>
        <v>0</v>
      </c>
      <c r="I119" s="21">
        <f>INSS($D119,Alíquotas!$C$5,Alíquotas!$C$6,Alíquotas!$C$7)</f>
        <v>0</v>
      </c>
      <c r="J119" s="21">
        <f>IF(D119-I119&lt;=Alíquotas!$G$5, 0, IF(D119-I119&lt;=Alíquotas!$G$6, D119*Alíquotas!$H$6, IF(D119-I119&lt;=Alíquotas!$G$7, D119*Alíquotas!$H$7, IF(D119-I119&lt;=Alíquotas!$G$8, D119*Alíquotas!$H$8, D119*Alíquotas!$H$9))))</f>
        <v>0</v>
      </c>
      <c r="K119" s="21">
        <f t="shared" si="20"/>
        <v>0</v>
      </c>
      <c r="L119" s="21">
        <f t="shared" si="21"/>
        <v>0</v>
      </c>
      <c r="M119" s="21">
        <f t="shared" si="16"/>
        <v>0</v>
      </c>
      <c r="N119" s="21">
        <f t="shared" si="18"/>
        <v>0</v>
      </c>
      <c r="O119" s="21">
        <f t="shared" si="17"/>
        <v>0</v>
      </c>
    </row>
    <row r="120" spans="1:15" x14ac:dyDescent="0.25">
      <c r="A120" s="19"/>
      <c r="B120" s="20"/>
      <c r="C120" s="20"/>
      <c r="D120" s="21"/>
      <c r="E120" s="31"/>
      <c r="F120" s="21">
        <f t="shared" si="19"/>
        <v>0</v>
      </c>
      <c r="G120" s="31"/>
      <c r="H120" s="21">
        <f t="shared" si="15"/>
        <v>0</v>
      </c>
      <c r="I120" s="21">
        <f>INSS($D120,Alíquotas!$C$5,Alíquotas!$C$6,Alíquotas!$C$7)</f>
        <v>0</v>
      </c>
      <c r="J120" s="21">
        <f>IF(D120-I120&lt;=Alíquotas!$G$5, 0, IF(D120-I120&lt;=Alíquotas!$G$6, D120*Alíquotas!$H$6, IF(D120-I120&lt;=Alíquotas!$G$7, D120*Alíquotas!$H$7, IF(D120-I120&lt;=Alíquotas!$G$8, D120*Alíquotas!$H$8, D120*Alíquotas!$H$9))))</f>
        <v>0</v>
      </c>
      <c r="K120" s="21">
        <f t="shared" si="20"/>
        <v>0</v>
      </c>
      <c r="L120" s="21">
        <f t="shared" si="21"/>
        <v>0</v>
      </c>
      <c r="M120" s="21">
        <f t="shared" si="16"/>
        <v>0</v>
      </c>
      <c r="N120" s="21">
        <f t="shared" si="18"/>
        <v>0</v>
      </c>
      <c r="O120" s="21">
        <f t="shared" si="17"/>
        <v>0</v>
      </c>
    </row>
    <row r="121" spans="1:15" x14ac:dyDescent="0.25">
      <c r="A121" s="19"/>
      <c r="B121" s="20"/>
      <c r="C121" s="20"/>
      <c r="D121" s="21"/>
      <c r="E121" s="31"/>
      <c r="F121" s="21">
        <f t="shared" si="19"/>
        <v>0</v>
      </c>
      <c r="G121" s="31"/>
      <c r="H121" s="21">
        <f t="shared" si="15"/>
        <v>0</v>
      </c>
      <c r="I121" s="21">
        <f>INSS($D121,Alíquotas!$C$5,Alíquotas!$C$6,Alíquotas!$C$7)</f>
        <v>0</v>
      </c>
      <c r="J121" s="21">
        <f>IF(D121-I121&lt;=Alíquotas!$G$5, 0, IF(D121-I121&lt;=Alíquotas!$G$6, D121*Alíquotas!$H$6, IF(D121-I121&lt;=Alíquotas!$G$7, D121*Alíquotas!$H$7, IF(D121-I121&lt;=Alíquotas!$G$8, D121*Alíquotas!$H$8, D121*Alíquotas!$H$9))))</f>
        <v>0</v>
      </c>
      <c r="K121" s="21">
        <f t="shared" si="20"/>
        <v>0</v>
      </c>
      <c r="L121" s="21">
        <f t="shared" si="21"/>
        <v>0</v>
      </c>
      <c r="M121" s="21">
        <f t="shared" si="16"/>
        <v>0</v>
      </c>
      <c r="N121" s="21">
        <f t="shared" si="18"/>
        <v>0</v>
      </c>
      <c r="O121" s="21">
        <f t="shared" si="17"/>
        <v>0</v>
      </c>
    </row>
    <row r="122" spans="1:15" x14ac:dyDescent="0.25">
      <c r="A122" s="19"/>
      <c r="B122" s="20"/>
      <c r="C122" s="20"/>
      <c r="D122" s="21"/>
      <c r="E122" s="31"/>
      <c r="F122" s="21">
        <f t="shared" si="19"/>
        <v>0</v>
      </c>
      <c r="G122" s="31"/>
      <c r="H122" s="21">
        <f t="shared" si="15"/>
        <v>0</v>
      </c>
      <c r="I122" s="21">
        <f>INSS($D122,Alíquotas!$C$5,Alíquotas!$C$6,Alíquotas!$C$7)</f>
        <v>0</v>
      </c>
      <c r="J122" s="21">
        <f>IF(D122-I122&lt;=Alíquotas!$G$5, 0, IF(D122-I122&lt;=Alíquotas!$G$6, D122*Alíquotas!$H$6, IF(D122-I122&lt;=Alíquotas!$G$7, D122*Alíquotas!$H$7, IF(D122-I122&lt;=Alíquotas!$G$8, D122*Alíquotas!$H$8, D122*Alíquotas!$H$9))))</f>
        <v>0</v>
      </c>
      <c r="K122" s="21">
        <f t="shared" si="20"/>
        <v>0</v>
      </c>
      <c r="L122" s="21">
        <f t="shared" si="21"/>
        <v>0</v>
      </c>
      <c r="M122" s="21">
        <f t="shared" si="16"/>
        <v>0</v>
      </c>
      <c r="N122" s="21">
        <f t="shared" si="18"/>
        <v>0</v>
      </c>
      <c r="O122" s="21">
        <f t="shared" si="17"/>
        <v>0</v>
      </c>
    </row>
    <row r="123" spans="1:15" x14ac:dyDescent="0.25">
      <c r="A123" s="19"/>
      <c r="B123" s="20"/>
      <c r="C123" s="20"/>
      <c r="D123" s="21"/>
      <c r="E123" s="31"/>
      <c r="F123" s="21">
        <f t="shared" si="19"/>
        <v>0</v>
      </c>
      <c r="G123" s="31"/>
      <c r="H123" s="21">
        <f t="shared" si="15"/>
        <v>0</v>
      </c>
      <c r="I123" s="21">
        <f>INSS($D123,Alíquotas!$C$5,Alíquotas!$C$6,Alíquotas!$C$7)</f>
        <v>0</v>
      </c>
      <c r="J123" s="21">
        <f>IF(D123-I123&lt;=Alíquotas!$G$5, 0, IF(D123-I123&lt;=Alíquotas!$G$6, D123*Alíquotas!$H$6, IF(D123-I123&lt;=Alíquotas!$G$7, D123*Alíquotas!$H$7, IF(D123-I123&lt;=Alíquotas!$G$8, D123*Alíquotas!$H$8, D123*Alíquotas!$H$9))))</f>
        <v>0</v>
      </c>
      <c r="K123" s="21">
        <f t="shared" si="20"/>
        <v>0</v>
      </c>
      <c r="L123" s="21">
        <f t="shared" si="21"/>
        <v>0</v>
      </c>
      <c r="M123" s="21">
        <f t="shared" si="16"/>
        <v>0</v>
      </c>
      <c r="N123" s="21">
        <f t="shared" si="18"/>
        <v>0</v>
      </c>
      <c r="O123" s="21">
        <f t="shared" si="17"/>
        <v>0</v>
      </c>
    </row>
    <row r="124" spans="1:15" x14ac:dyDescent="0.25">
      <c r="A124" s="19"/>
      <c r="B124" s="20"/>
      <c r="C124" s="20"/>
      <c r="D124" s="21"/>
      <c r="E124" s="31"/>
      <c r="F124" s="21">
        <f t="shared" si="19"/>
        <v>0</v>
      </c>
      <c r="G124" s="31"/>
      <c r="H124" s="21">
        <f t="shared" si="15"/>
        <v>0</v>
      </c>
      <c r="I124" s="21">
        <f>INSS($D124,Alíquotas!$C$5,Alíquotas!$C$6,Alíquotas!$C$7)</f>
        <v>0</v>
      </c>
      <c r="J124" s="21">
        <f>IF(D124-I124&lt;=Alíquotas!$G$5, 0, IF(D124-I124&lt;=Alíquotas!$G$6, D124*Alíquotas!$H$6, IF(D124-I124&lt;=Alíquotas!$G$7, D124*Alíquotas!$H$7, IF(D124-I124&lt;=Alíquotas!$G$8, D124*Alíquotas!$H$8, D124*Alíquotas!$H$9))))</f>
        <v>0</v>
      </c>
      <c r="K124" s="21">
        <f t="shared" si="20"/>
        <v>0</v>
      </c>
      <c r="L124" s="21">
        <f t="shared" si="21"/>
        <v>0</v>
      </c>
      <c r="M124" s="21">
        <f t="shared" si="16"/>
        <v>0</v>
      </c>
      <c r="N124" s="21">
        <f t="shared" si="18"/>
        <v>0</v>
      </c>
      <c r="O124" s="21">
        <f t="shared" si="17"/>
        <v>0</v>
      </c>
    </row>
    <row r="125" spans="1:15" x14ac:dyDescent="0.25">
      <c r="A125" s="19"/>
      <c r="B125" s="20"/>
      <c r="C125" s="20"/>
      <c r="D125" s="21"/>
      <c r="E125" s="31"/>
      <c r="F125" s="21">
        <f t="shared" si="19"/>
        <v>0</v>
      </c>
      <c r="G125" s="31"/>
      <c r="H125" s="21">
        <f t="shared" si="15"/>
        <v>0</v>
      </c>
      <c r="I125" s="21">
        <f>INSS($D125,Alíquotas!$C$5,Alíquotas!$C$6,Alíquotas!$C$7)</f>
        <v>0</v>
      </c>
      <c r="J125" s="21">
        <f>IF(D125-I125&lt;=Alíquotas!$G$5, 0, IF(D125-I125&lt;=Alíquotas!$G$6, D125*Alíquotas!$H$6, IF(D125-I125&lt;=Alíquotas!$G$7, D125*Alíquotas!$H$7, IF(D125-I125&lt;=Alíquotas!$G$8, D125*Alíquotas!$H$8, D125*Alíquotas!$H$9))))</f>
        <v>0</v>
      </c>
      <c r="K125" s="21">
        <f t="shared" si="20"/>
        <v>0</v>
      </c>
      <c r="L125" s="21">
        <f t="shared" si="21"/>
        <v>0</v>
      </c>
      <c r="M125" s="21">
        <f t="shared" si="16"/>
        <v>0</v>
      </c>
      <c r="N125" s="21">
        <f t="shared" si="18"/>
        <v>0</v>
      </c>
      <c r="O125" s="21">
        <f t="shared" si="17"/>
        <v>0</v>
      </c>
    </row>
    <row r="126" spans="1:15" x14ac:dyDescent="0.25">
      <c r="A126" s="19"/>
      <c r="B126" s="20"/>
      <c r="C126" s="20"/>
      <c r="D126" s="21"/>
      <c r="E126" s="31"/>
      <c r="F126" s="21">
        <f t="shared" si="19"/>
        <v>0</v>
      </c>
      <c r="G126" s="31"/>
      <c r="H126" s="21">
        <f t="shared" si="15"/>
        <v>0</v>
      </c>
      <c r="I126" s="21">
        <f>INSS($D126,Alíquotas!$C$5,Alíquotas!$C$6,Alíquotas!$C$7)</f>
        <v>0</v>
      </c>
      <c r="J126" s="21">
        <f>IF(D126-I126&lt;=Alíquotas!$G$5, 0, IF(D126-I126&lt;=Alíquotas!$G$6, D126*Alíquotas!$H$6, IF(D126-I126&lt;=Alíquotas!$G$7, D126*Alíquotas!$H$7, IF(D126-I126&lt;=Alíquotas!$G$8, D126*Alíquotas!$H$8, D126*Alíquotas!$H$9))))</f>
        <v>0</v>
      </c>
      <c r="K126" s="21">
        <f t="shared" si="20"/>
        <v>0</v>
      </c>
      <c r="L126" s="21">
        <f t="shared" si="21"/>
        <v>0</v>
      </c>
      <c r="M126" s="21">
        <f t="shared" si="16"/>
        <v>0</v>
      </c>
      <c r="N126" s="21">
        <f t="shared" si="18"/>
        <v>0</v>
      </c>
      <c r="O126" s="21">
        <f t="shared" si="17"/>
        <v>0</v>
      </c>
    </row>
    <row r="127" spans="1:15" x14ac:dyDescent="0.25">
      <c r="A127" s="19"/>
      <c r="B127" s="20"/>
      <c r="C127" s="20"/>
      <c r="D127" s="21"/>
      <c r="E127" s="31"/>
      <c r="F127" s="21">
        <f t="shared" si="19"/>
        <v>0</v>
      </c>
      <c r="G127" s="31"/>
      <c r="H127" s="21">
        <f t="shared" si="15"/>
        <v>0</v>
      </c>
      <c r="I127" s="21">
        <f>INSS($D127,Alíquotas!$C$5,Alíquotas!$C$6,Alíquotas!$C$7)</f>
        <v>0</v>
      </c>
      <c r="J127" s="21">
        <f>IF(D127-I127&lt;=Alíquotas!$G$5, 0, IF(D127-I127&lt;=Alíquotas!$G$6, D127*Alíquotas!$H$6, IF(D127-I127&lt;=Alíquotas!$G$7, D127*Alíquotas!$H$7, IF(D127-I127&lt;=Alíquotas!$G$8, D127*Alíquotas!$H$8, D127*Alíquotas!$H$9))))</f>
        <v>0</v>
      </c>
      <c r="K127" s="21">
        <f t="shared" si="20"/>
        <v>0</v>
      </c>
      <c r="L127" s="21">
        <f t="shared" si="21"/>
        <v>0</v>
      </c>
      <c r="M127" s="21">
        <f t="shared" si="16"/>
        <v>0</v>
      </c>
      <c r="N127" s="21">
        <f t="shared" si="18"/>
        <v>0</v>
      </c>
      <c r="O127" s="21">
        <f t="shared" si="17"/>
        <v>0</v>
      </c>
    </row>
    <row r="128" spans="1:15" x14ac:dyDescent="0.25">
      <c r="A128" s="19"/>
      <c r="B128" s="20"/>
      <c r="C128" s="20"/>
      <c r="D128" s="21"/>
      <c r="E128" s="31"/>
      <c r="F128" s="21">
        <f t="shared" si="19"/>
        <v>0</v>
      </c>
      <c r="G128" s="31"/>
      <c r="H128" s="21">
        <f t="shared" si="15"/>
        <v>0</v>
      </c>
      <c r="I128" s="21">
        <f>INSS($D128,Alíquotas!$C$5,Alíquotas!$C$6,Alíquotas!$C$7)</f>
        <v>0</v>
      </c>
      <c r="J128" s="21">
        <f>IF(D128-I128&lt;=Alíquotas!$G$5, 0, IF(D128-I128&lt;=Alíquotas!$G$6, D128*Alíquotas!$H$6, IF(D128-I128&lt;=Alíquotas!$G$7, D128*Alíquotas!$H$7, IF(D128-I128&lt;=Alíquotas!$G$8, D128*Alíquotas!$H$8, D128*Alíquotas!$H$9))))</f>
        <v>0</v>
      </c>
      <c r="K128" s="21">
        <f t="shared" si="20"/>
        <v>0</v>
      </c>
      <c r="L128" s="21">
        <f t="shared" si="21"/>
        <v>0</v>
      </c>
      <c r="M128" s="21">
        <f t="shared" si="16"/>
        <v>0</v>
      </c>
      <c r="N128" s="21">
        <f t="shared" si="18"/>
        <v>0</v>
      </c>
      <c r="O128" s="21">
        <f t="shared" si="17"/>
        <v>0</v>
      </c>
    </row>
    <row r="129" spans="1:15" x14ac:dyDescent="0.25">
      <c r="A129" s="19"/>
      <c r="B129" s="20"/>
      <c r="C129" s="20"/>
      <c r="D129" s="21"/>
      <c r="E129" s="31"/>
      <c r="F129" s="21">
        <f t="shared" si="19"/>
        <v>0</v>
      </c>
      <c r="G129" s="31"/>
      <c r="H129" s="21">
        <f t="shared" si="15"/>
        <v>0</v>
      </c>
      <c r="I129" s="21">
        <f>INSS($D129,Alíquotas!$C$5,Alíquotas!$C$6,Alíquotas!$C$7)</f>
        <v>0</v>
      </c>
      <c r="J129" s="21">
        <f>IF(D129-I129&lt;=Alíquotas!$G$5, 0, IF(D129-I129&lt;=Alíquotas!$G$6, D129*Alíquotas!$H$6, IF(D129-I129&lt;=Alíquotas!$G$7, D129*Alíquotas!$H$7, IF(D129-I129&lt;=Alíquotas!$G$8, D129*Alíquotas!$H$8, D129*Alíquotas!$H$9))))</f>
        <v>0</v>
      </c>
      <c r="K129" s="21">
        <f t="shared" si="20"/>
        <v>0</v>
      </c>
      <c r="L129" s="21">
        <f t="shared" si="21"/>
        <v>0</v>
      </c>
      <c r="M129" s="21">
        <f t="shared" si="16"/>
        <v>0</v>
      </c>
      <c r="N129" s="21">
        <f t="shared" si="18"/>
        <v>0</v>
      </c>
      <c r="O129" s="21">
        <f t="shared" si="17"/>
        <v>0</v>
      </c>
    </row>
    <row r="130" spans="1:15" x14ac:dyDescent="0.25">
      <c r="A130" s="19"/>
      <c r="B130" s="20"/>
      <c r="C130" s="20"/>
      <c r="D130" s="21"/>
      <c r="E130" s="31"/>
      <c r="F130" s="21">
        <f t="shared" si="19"/>
        <v>0</v>
      </c>
      <c r="G130" s="31"/>
      <c r="H130" s="21">
        <f t="shared" si="15"/>
        <v>0</v>
      </c>
      <c r="I130" s="21">
        <f>INSS($D130,Alíquotas!$C$5,Alíquotas!$C$6,Alíquotas!$C$7)</f>
        <v>0</v>
      </c>
      <c r="J130" s="21">
        <f>IF(D130-I130&lt;=Alíquotas!$G$5, 0, IF(D130-I130&lt;=Alíquotas!$G$6, D130*Alíquotas!$H$6, IF(D130-I130&lt;=Alíquotas!$G$7, D130*Alíquotas!$H$7, IF(D130-I130&lt;=Alíquotas!$G$8, D130*Alíquotas!$H$8, D130*Alíquotas!$H$9))))</f>
        <v>0</v>
      </c>
      <c r="K130" s="21">
        <f t="shared" si="20"/>
        <v>0</v>
      </c>
      <c r="L130" s="21">
        <f t="shared" si="21"/>
        <v>0</v>
      </c>
      <c r="M130" s="21">
        <f t="shared" si="16"/>
        <v>0</v>
      </c>
      <c r="N130" s="21">
        <f t="shared" si="18"/>
        <v>0</v>
      </c>
      <c r="O130" s="21">
        <f t="shared" si="17"/>
        <v>0</v>
      </c>
    </row>
    <row r="131" spans="1:15" x14ac:dyDescent="0.25">
      <c r="A131" s="19"/>
      <c r="B131" s="20"/>
      <c r="C131" s="20"/>
      <c r="D131" s="21"/>
      <c r="E131" s="31"/>
      <c r="F131" s="21">
        <f t="shared" si="19"/>
        <v>0</v>
      </c>
      <c r="G131" s="31"/>
      <c r="H131" s="21">
        <f t="shared" si="15"/>
        <v>0</v>
      </c>
      <c r="I131" s="21">
        <f>INSS($D131,Alíquotas!$C$5,Alíquotas!$C$6,Alíquotas!$C$7)</f>
        <v>0</v>
      </c>
      <c r="J131" s="21">
        <f>IF(D131-I131&lt;=Alíquotas!$G$5, 0, IF(D131-I131&lt;=Alíquotas!$G$6, D131*Alíquotas!$H$6, IF(D131-I131&lt;=Alíquotas!$G$7, D131*Alíquotas!$H$7, IF(D131-I131&lt;=Alíquotas!$G$8, D131*Alíquotas!$H$8, D131*Alíquotas!$H$9))))</f>
        <v>0</v>
      </c>
      <c r="K131" s="21">
        <f t="shared" si="20"/>
        <v>0</v>
      </c>
      <c r="L131" s="21">
        <f t="shared" si="21"/>
        <v>0</v>
      </c>
      <c r="M131" s="21">
        <f t="shared" si="16"/>
        <v>0</v>
      </c>
      <c r="N131" s="21">
        <f t="shared" si="18"/>
        <v>0</v>
      </c>
      <c r="O131" s="21">
        <f t="shared" si="17"/>
        <v>0</v>
      </c>
    </row>
    <row r="132" spans="1:15" x14ac:dyDescent="0.25">
      <c r="A132" s="19"/>
      <c r="B132" s="20"/>
      <c r="C132" s="20"/>
      <c r="D132" s="21"/>
      <c r="E132" s="31"/>
      <c r="F132" s="21">
        <f t="shared" si="19"/>
        <v>0</v>
      </c>
      <c r="G132" s="31"/>
      <c r="H132" s="21">
        <f t="shared" si="15"/>
        <v>0</v>
      </c>
      <c r="I132" s="21">
        <f>INSS($D132,Alíquotas!$C$5,Alíquotas!$C$6,Alíquotas!$C$7)</f>
        <v>0</v>
      </c>
      <c r="J132" s="21">
        <f>IF(D132-I132&lt;=Alíquotas!$G$5, 0, IF(D132-I132&lt;=Alíquotas!$G$6, D132*Alíquotas!$H$6, IF(D132-I132&lt;=Alíquotas!$G$7, D132*Alíquotas!$H$7, IF(D132-I132&lt;=Alíquotas!$G$8, D132*Alíquotas!$H$8, D132*Alíquotas!$H$9))))</f>
        <v>0</v>
      </c>
      <c r="K132" s="21">
        <f t="shared" si="20"/>
        <v>0</v>
      </c>
      <c r="L132" s="21">
        <f t="shared" si="21"/>
        <v>0</v>
      </c>
      <c r="M132" s="21">
        <f t="shared" si="16"/>
        <v>0</v>
      </c>
      <c r="N132" s="21">
        <f t="shared" si="18"/>
        <v>0</v>
      </c>
      <c r="O132" s="21">
        <f t="shared" si="17"/>
        <v>0</v>
      </c>
    </row>
    <row r="133" spans="1:15" x14ac:dyDescent="0.25">
      <c r="A133" s="19"/>
      <c r="B133" s="20"/>
      <c r="C133" s="20"/>
      <c r="D133" s="21"/>
      <c r="E133" s="31"/>
      <c r="F133" s="21">
        <f t="shared" si="19"/>
        <v>0</v>
      </c>
      <c r="G133" s="31"/>
      <c r="H133" s="21">
        <f t="shared" si="15"/>
        <v>0</v>
      </c>
      <c r="I133" s="21">
        <f>INSS($D133,Alíquotas!$C$5,Alíquotas!$C$6,Alíquotas!$C$7)</f>
        <v>0</v>
      </c>
      <c r="J133" s="21">
        <f>IF(D133-I133&lt;=Alíquotas!$G$5, 0, IF(D133-I133&lt;=Alíquotas!$G$6, D133*Alíquotas!$H$6, IF(D133-I133&lt;=Alíquotas!$G$7, D133*Alíquotas!$H$7, IF(D133-I133&lt;=Alíquotas!$G$8, D133*Alíquotas!$H$8, D133*Alíquotas!$H$9))))</f>
        <v>0</v>
      </c>
      <c r="K133" s="21">
        <f t="shared" si="20"/>
        <v>0</v>
      </c>
      <c r="L133" s="21">
        <f t="shared" si="21"/>
        <v>0</v>
      </c>
      <c r="M133" s="21">
        <f t="shared" si="16"/>
        <v>0</v>
      </c>
      <c r="N133" s="21">
        <f t="shared" si="18"/>
        <v>0</v>
      </c>
      <c r="O133" s="21">
        <f t="shared" si="17"/>
        <v>0</v>
      </c>
    </row>
    <row r="134" spans="1:15" x14ac:dyDescent="0.25">
      <c r="A134" s="19"/>
      <c r="B134" s="20"/>
      <c r="C134" s="20"/>
      <c r="D134" s="21"/>
      <c r="E134" s="31"/>
      <c r="F134" s="21">
        <f t="shared" si="19"/>
        <v>0</v>
      </c>
      <c r="G134" s="31"/>
      <c r="H134" s="21">
        <f t="shared" si="15"/>
        <v>0</v>
      </c>
      <c r="I134" s="21">
        <f>INSS($D134,Alíquotas!$C$5,Alíquotas!$C$6,Alíquotas!$C$7)</f>
        <v>0</v>
      </c>
      <c r="J134" s="21">
        <f>IF(D134-I134&lt;=Alíquotas!$G$5, 0, IF(D134-I134&lt;=Alíquotas!$G$6, D134*Alíquotas!$H$6, IF(D134-I134&lt;=Alíquotas!$G$7, D134*Alíquotas!$H$7, IF(D134-I134&lt;=Alíquotas!$G$8, D134*Alíquotas!$H$8, D134*Alíquotas!$H$9))))</f>
        <v>0</v>
      </c>
      <c r="K134" s="21">
        <f t="shared" si="20"/>
        <v>0</v>
      </c>
      <c r="L134" s="21">
        <f t="shared" si="21"/>
        <v>0</v>
      </c>
      <c r="M134" s="21">
        <f t="shared" si="16"/>
        <v>0</v>
      </c>
      <c r="N134" s="21">
        <f t="shared" si="18"/>
        <v>0</v>
      </c>
      <c r="O134" s="21">
        <f t="shared" si="17"/>
        <v>0</v>
      </c>
    </row>
    <row r="135" spans="1:15" x14ac:dyDescent="0.25">
      <c r="A135" s="19"/>
      <c r="B135" s="20"/>
      <c r="C135" s="20"/>
      <c r="D135" s="21"/>
      <c r="E135" s="31"/>
      <c r="F135" s="21">
        <f t="shared" si="19"/>
        <v>0</v>
      </c>
      <c r="G135" s="31"/>
      <c r="H135" s="21">
        <f t="shared" si="15"/>
        <v>0</v>
      </c>
      <c r="I135" s="21">
        <f>INSS($D135,Alíquotas!$C$5,Alíquotas!$C$6,Alíquotas!$C$7)</f>
        <v>0</v>
      </c>
      <c r="J135" s="21">
        <f>IF(D135-I135&lt;=Alíquotas!$G$5, 0, IF(D135-I135&lt;=Alíquotas!$G$6, D135*Alíquotas!$H$6, IF(D135-I135&lt;=Alíquotas!$G$7, D135*Alíquotas!$H$7, IF(D135-I135&lt;=Alíquotas!$G$8, D135*Alíquotas!$H$8, D135*Alíquotas!$H$9))))</f>
        <v>0</v>
      </c>
      <c r="K135" s="21">
        <f t="shared" si="20"/>
        <v>0</v>
      </c>
      <c r="L135" s="21">
        <f t="shared" si="21"/>
        <v>0</v>
      </c>
      <c r="M135" s="21">
        <f t="shared" si="16"/>
        <v>0</v>
      </c>
      <c r="N135" s="21">
        <f t="shared" si="18"/>
        <v>0</v>
      </c>
      <c r="O135" s="21">
        <f t="shared" si="17"/>
        <v>0</v>
      </c>
    </row>
    <row r="136" spans="1:15" x14ac:dyDescent="0.25">
      <c r="A136" s="19"/>
      <c r="B136" s="20"/>
      <c r="C136" s="20"/>
      <c r="D136" s="21"/>
      <c r="E136" s="31"/>
      <c r="F136" s="21">
        <f t="shared" si="19"/>
        <v>0</v>
      </c>
      <c r="G136" s="31"/>
      <c r="H136" s="21">
        <f t="shared" ref="H136:H199" si="22">ATRASO($D136,$G136)</f>
        <v>0</v>
      </c>
      <c r="I136" s="21">
        <f>INSS($D136,Alíquotas!$C$5,Alíquotas!$C$6,Alíquotas!$C$7)</f>
        <v>0</v>
      </c>
      <c r="J136" s="21">
        <f>IF(D136-I136&lt;=Alíquotas!$G$5, 0, IF(D136-I136&lt;=Alíquotas!$G$6, D136*Alíquotas!$H$6, IF(D136-I136&lt;=Alíquotas!$G$7, D136*Alíquotas!$H$7, IF(D136-I136&lt;=Alíquotas!$G$8, D136*Alíquotas!$H$8, D136*Alíquotas!$H$9))))</f>
        <v>0</v>
      </c>
      <c r="K136" s="21">
        <f t="shared" si="20"/>
        <v>0</v>
      </c>
      <c r="L136" s="21">
        <f t="shared" si="21"/>
        <v>0</v>
      </c>
      <c r="M136" s="21">
        <f t="shared" ref="M136:M199" si="23">DECIMO_TERCEIRO($D136)</f>
        <v>0</v>
      </c>
      <c r="N136" s="21">
        <f t="shared" si="18"/>
        <v>0</v>
      </c>
      <c r="O136" s="21">
        <f t="shared" ref="O136:O199" si="24">PROP_FERIAS($D136)</f>
        <v>0</v>
      </c>
    </row>
    <row r="137" spans="1:15" x14ac:dyDescent="0.25">
      <c r="A137" s="19"/>
      <c r="B137" s="20"/>
      <c r="C137" s="20"/>
      <c r="D137" s="21"/>
      <c r="E137" s="31"/>
      <c r="F137" s="21">
        <f t="shared" si="19"/>
        <v>0</v>
      </c>
      <c r="G137" s="31"/>
      <c r="H137" s="21">
        <f t="shared" si="22"/>
        <v>0</v>
      </c>
      <c r="I137" s="21">
        <f>INSS($D137,Alíquotas!$C$5,Alíquotas!$C$6,Alíquotas!$C$7)</f>
        <v>0</v>
      </c>
      <c r="J137" s="21">
        <f>IF(D137-I137&lt;=Alíquotas!$G$5, 0, IF(D137-I137&lt;=Alíquotas!$G$6, D137*Alíquotas!$H$6, IF(D137-I137&lt;=Alíquotas!$G$7, D137*Alíquotas!$H$7, IF(D137-I137&lt;=Alíquotas!$G$8, D137*Alíquotas!$H$8, D137*Alíquotas!$H$9))))</f>
        <v>0</v>
      </c>
      <c r="K137" s="21">
        <f t="shared" si="20"/>
        <v>0</v>
      </c>
      <c r="L137" s="21">
        <f t="shared" si="21"/>
        <v>0</v>
      </c>
      <c r="M137" s="21">
        <f t="shared" si="23"/>
        <v>0</v>
      </c>
      <c r="N137" s="21">
        <f t="shared" si="18"/>
        <v>0</v>
      </c>
      <c r="O137" s="21">
        <f t="shared" si="24"/>
        <v>0</v>
      </c>
    </row>
    <row r="138" spans="1:15" x14ac:dyDescent="0.25">
      <c r="A138" s="19"/>
      <c r="B138" s="20"/>
      <c r="C138" s="20"/>
      <c r="D138" s="21"/>
      <c r="E138" s="31"/>
      <c r="F138" s="21">
        <f t="shared" si="19"/>
        <v>0</v>
      </c>
      <c r="G138" s="31"/>
      <c r="H138" s="21">
        <f t="shared" si="22"/>
        <v>0</v>
      </c>
      <c r="I138" s="21">
        <f>INSS($D138,Alíquotas!$C$5,Alíquotas!$C$6,Alíquotas!$C$7)</f>
        <v>0</v>
      </c>
      <c r="J138" s="21">
        <f>IF(D138-I138&lt;=Alíquotas!$G$5, 0, IF(D138-I138&lt;=Alíquotas!$G$6, D138*Alíquotas!$H$6, IF(D138-I138&lt;=Alíquotas!$G$7, D138*Alíquotas!$H$7, IF(D138-I138&lt;=Alíquotas!$G$8, D138*Alíquotas!$H$8, D138*Alíquotas!$H$9))))</f>
        <v>0</v>
      </c>
      <c r="K138" s="21">
        <f t="shared" si="20"/>
        <v>0</v>
      </c>
      <c r="L138" s="21">
        <f t="shared" si="21"/>
        <v>0</v>
      </c>
      <c r="M138" s="21">
        <f t="shared" si="23"/>
        <v>0</v>
      </c>
      <c r="N138" s="21">
        <f t="shared" si="18"/>
        <v>0</v>
      </c>
      <c r="O138" s="21">
        <f t="shared" si="24"/>
        <v>0</v>
      </c>
    </row>
    <row r="139" spans="1:15" x14ac:dyDescent="0.25">
      <c r="A139" s="19"/>
      <c r="B139" s="20"/>
      <c r="C139" s="20"/>
      <c r="D139" s="21"/>
      <c r="E139" s="31"/>
      <c r="F139" s="21">
        <f t="shared" si="19"/>
        <v>0</v>
      </c>
      <c r="G139" s="31"/>
      <c r="H139" s="21">
        <f t="shared" si="22"/>
        <v>0</v>
      </c>
      <c r="I139" s="21">
        <f>INSS($D139,Alíquotas!$C$5,Alíquotas!$C$6,Alíquotas!$C$7)</f>
        <v>0</v>
      </c>
      <c r="J139" s="21">
        <f>IF(D139-I139&lt;=Alíquotas!$G$5, 0, IF(D139-I139&lt;=Alíquotas!$G$6, D139*Alíquotas!$H$6, IF(D139-I139&lt;=Alíquotas!$G$7, D139*Alíquotas!$H$7, IF(D139-I139&lt;=Alíquotas!$G$8, D139*Alíquotas!$H$8, D139*Alíquotas!$H$9))))</f>
        <v>0</v>
      </c>
      <c r="K139" s="21">
        <f t="shared" si="20"/>
        <v>0</v>
      </c>
      <c r="L139" s="21">
        <f t="shared" si="21"/>
        <v>0</v>
      </c>
      <c r="M139" s="21">
        <f t="shared" si="23"/>
        <v>0</v>
      </c>
      <c r="N139" s="21">
        <f t="shared" si="18"/>
        <v>0</v>
      </c>
      <c r="O139" s="21">
        <f t="shared" si="24"/>
        <v>0</v>
      </c>
    </row>
    <row r="140" spans="1:15" x14ac:dyDescent="0.25">
      <c r="A140" s="19"/>
      <c r="B140" s="20"/>
      <c r="C140" s="20"/>
      <c r="D140" s="21"/>
      <c r="E140" s="31"/>
      <c r="F140" s="21">
        <f t="shared" si="19"/>
        <v>0</v>
      </c>
      <c r="G140" s="31"/>
      <c r="H140" s="21">
        <f t="shared" si="22"/>
        <v>0</v>
      </c>
      <c r="I140" s="21">
        <f>INSS($D140,Alíquotas!$C$5,Alíquotas!$C$6,Alíquotas!$C$7)</f>
        <v>0</v>
      </c>
      <c r="J140" s="21">
        <f>IF(D140-I140&lt;=Alíquotas!$G$5, 0, IF(D140-I140&lt;=Alíquotas!$G$6, D140*Alíquotas!$H$6, IF(D140-I140&lt;=Alíquotas!$G$7, D140*Alíquotas!$H$7, IF(D140-I140&lt;=Alíquotas!$G$8, D140*Alíquotas!$H$8, D140*Alíquotas!$H$9))))</f>
        <v>0</v>
      </c>
      <c r="K140" s="21">
        <f t="shared" si="20"/>
        <v>0</v>
      </c>
      <c r="L140" s="21">
        <f t="shared" si="21"/>
        <v>0</v>
      </c>
      <c r="M140" s="21">
        <f t="shared" si="23"/>
        <v>0</v>
      </c>
      <c r="N140" s="21">
        <f t="shared" si="18"/>
        <v>0</v>
      </c>
      <c r="O140" s="21">
        <f t="shared" si="24"/>
        <v>0</v>
      </c>
    </row>
    <row r="141" spans="1:15" x14ac:dyDescent="0.25">
      <c r="A141" s="19"/>
      <c r="B141" s="20"/>
      <c r="C141" s="20"/>
      <c r="D141" s="21"/>
      <c r="E141" s="31"/>
      <c r="F141" s="21">
        <f t="shared" si="19"/>
        <v>0</v>
      </c>
      <c r="G141" s="31"/>
      <c r="H141" s="21">
        <f t="shared" si="22"/>
        <v>0</v>
      </c>
      <c r="I141" s="21">
        <f>INSS($D141,Alíquotas!$C$5,Alíquotas!$C$6,Alíquotas!$C$7)</f>
        <v>0</v>
      </c>
      <c r="J141" s="21">
        <f>IF(D141-I141&lt;=Alíquotas!$G$5, 0, IF(D141-I141&lt;=Alíquotas!$G$6, D141*Alíquotas!$H$6, IF(D141-I141&lt;=Alíquotas!$G$7, D141*Alíquotas!$H$7, IF(D141-I141&lt;=Alíquotas!$G$8, D141*Alíquotas!$H$8, D141*Alíquotas!$H$9))))</f>
        <v>0</v>
      </c>
      <c r="K141" s="21">
        <f t="shared" si="20"/>
        <v>0</v>
      </c>
      <c r="L141" s="21">
        <f t="shared" si="21"/>
        <v>0</v>
      </c>
      <c r="M141" s="21">
        <f t="shared" si="23"/>
        <v>0</v>
      </c>
      <c r="N141" s="21">
        <f t="shared" si="18"/>
        <v>0</v>
      </c>
      <c r="O141" s="21">
        <f t="shared" si="24"/>
        <v>0</v>
      </c>
    </row>
    <row r="142" spans="1:15" x14ac:dyDescent="0.25">
      <c r="A142" s="19"/>
      <c r="B142" s="20"/>
      <c r="C142" s="20"/>
      <c r="D142" s="21"/>
      <c r="E142" s="31"/>
      <c r="F142" s="21">
        <f t="shared" si="19"/>
        <v>0</v>
      </c>
      <c r="G142" s="31"/>
      <c r="H142" s="21">
        <f t="shared" si="22"/>
        <v>0</v>
      </c>
      <c r="I142" s="21">
        <f>INSS($D142,Alíquotas!$C$5,Alíquotas!$C$6,Alíquotas!$C$7)</f>
        <v>0</v>
      </c>
      <c r="J142" s="21">
        <f>IF(D142-I142&lt;=Alíquotas!$G$5, 0, IF(D142-I142&lt;=Alíquotas!$G$6, D142*Alíquotas!$H$6, IF(D142-I142&lt;=Alíquotas!$G$7, D142*Alíquotas!$H$7, IF(D142-I142&lt;=Alíquotas!$G$8, D142*Alíquotas!$H$8, D142*Alíquotas!$H$9))))</f>
        <v>0</v>
      </c>
      <c r="K142" s="21">
        <f t="shared" si="20"/>
        <v>0</v>
      </c>
      <c r="L142" s="21">
        <f t="shared" si="21"/>
        <v>0</v>
      </c>
      <c r="M142" s="21">
        <f t="shared" si="23"/>
        <v>0</v>
      </c>
      <c r="N142" s="21">
        <f t="shared" si="18"/>
        <v>0</v>
      </c>
      <c r="O142" s="21">
        <f t="shared" si="24"/>
        <v>0</v>
      </c>
    </row>
    <row r="143" spans="1:15" x14ac:dyDescent="0.25">
      <c r="A143" s="19"/>
      <c r="B143" s="20"/>
      <c r="C143" s="20"/>
      <c r="D143" s="21"/>
      <c r="E143" s="31"/>
      <c r="F143" s="21">
        <f t="shared" si="19"/>
        <v>0</v>
      </c>
      <c r="G143" s="31"/>
      <c r="H143" s="21">
        <f t="shared" si="22"/>
        <v>0</v>
      </c>
      <c r="I143" s="21">
        <f>INSS($D143,Alíquotas!$C$5,Alíquotas!$C$6,Alíquotas!$C$7)</f>
        <v>0</v>
      </c>
      <c r="J143" s="21">
        <f>IF(D143-I143&lt;=Alíquotas!$G$5, 0, IF(D143-I143&lt;=Alíquotas!$G$6, D143*Alíquotas!$H$6, IF(D143-I143&lt;=Alíquotas!$G$7, D143*Alíquotas!$H$7, IF(D143-I143&lt;=Alíquotas!$G$8, D143*Alíquotas!$H$8, D143*Alíquotas!$H$9))))</f>
        <v>0</v>
      </c>
      <c r="K143" s="21">
        <f t="shared" si="20"/>
        <v>0</v>
      </c>
      <c r="L143" s="21">
        <f t="shared" si="21"/>
        <v>0</v>
      </c>
      <c r="M143" s="21">
        <f t="shared" si="23"/>
        <v>0</v>
      </c>
      <c r="N143" s="21">
        <f t="shared" si="18"/>
        <v>0</v>
      </c>
      <c r="O143" s="21">
        <f t="shared" si="24"/>
        <v>0</v>
      </c>
    </row>
    <row r="144" spans="1:15" x14ac:dyDescent="0.25">
      <c r="A144" s="19"/>
      <c r="B144" s="20"/>
      <c r="C144" s="20"/>
      <c r="D144" s="21"/>
      <c r="E144" s="31"/>
      <c r="F144" s="21">
        <f t="shared" si="19"/>
        <v>0</v>
      </c>
      <c r="G144" s="31"/>
      <c r="H144" s="21">
        <f t="shared" si="22"/>
        <v>0</v>
      </c>
      <c r="I144" s="21">
        <f>INSS($D144,Alíquotas!$C$5,Alíquotas!$C$6,Alíquotas!$C$7)</f>
        <v>0</v>
      </c>
      <c r="J144" s="21">
        <f>IF(D144-I144&lt;=Alíquotas!$G$5, 0, IF(D144-I144&lt;=Alíquotas!$G$6, D144*Alíquotas!$H$6, IF(D144-I144&lt;=Alíquotas!$G$7, D144*Alíquotas!$H$7, IF(D144-I144&lt;=Alíquotas!$G$8, D144*Alíquotas!$H$8, D144*Alíquotas!$H$9))))</f>
        <v>0</v>
      </c>
      <c r="K144" s="21">
        <f t="shared" si="20"/>
        <v>0</v>
      </c>
      <c r="L144" s="21">
        <f t="shared" si="21"/>
        <v>0</v>
      </c>
      <c r="M144" s="21">
        <f t="shared" si="23"/>
        <v>0</v>
      </c>
      <c r="N144" s="21">
        <f t="shared" si="18"/>
        <v>0</v>
      </c>
      <c r="O144" s="21">
        <f t="shared" si="24"/>
        <v>0</v>
      </c>
    </row>
    <row r="145" spans="1:15" x14ac:dyDescent="0.25">
      <c r="A145" s="19"/>
      <c r="B145" s="20"/>
      <c r="C145" s="20"/>
      <c r="D145" s="21"/>
      <c r="E145" s="31"/>
      <c r="F145" s="21">
        <f t="shared" si="19"/>
        <v>0</v>
      </c>
      <c r="G145" s="31"/>
      <c r="H145" s="21">
        <f t="shared" si="22"/>
        <v>0</v>
      </c>
      <c r="I145" s="21">
        <f>INSS($D145,Alíquotas!$C$5,Alíquotas!$C$6,Alíquotas!$C$7)</f>
        <v>0</v>
      </c>
      <c r="J145" s="21">
        <f>IF(D145-I145&lt;=Alíquotas!$G$5, 0, IF(D145-I145&lt;=Alíquotas!$G$6, D145*Alíquotas!$H$6, IF(D145-I145&lt;=Alíquotas!$G$7, D145*Alíquotas!$H$7, IF(D145-I145&lt;=Alíquotas!$G$8, D145*Alíquotas!$H$8, D145*Alíquotas!$H$9))))</f>
        <v>0</v>
      </c>
      <c r="K145" s="21">
        <f t="shared" si="20"/>
        <v>0</v>
      </c>
      <c r="L145" s="21">
        <f t="shared" si="21"/>
        <v>0</v>
      </c>
      <c r="M145" s="21">
        <f t="shared" si="23"/>
        <v>0</v>
      </c>
      <c r="N145" s="21">
        <f t="shared" si="18"/>
        <v>0</v>
      </c>
      <c r="O145" s="21">
        <f t="shared" si="24"/>
        <v>0</v>
      </c>
    </row>
    <row r="146" spans="1:15" x14ac:dyDescent="0.25">
      <c r="A146" s="19"/>
      <c r="B146" s="20"/>
      <c r="C146" s="20"/>
      <c r="D146" s="21"/>
      <c r="E146" s="31"/>
      <c r="F146" s="21">
        <f t="shared" si="19"/>
        <v>0</v>
      </c>
      <c r="G146" s="31"/>
      <c r="H146" s="21">
        <f t="shared" si="22"/>
        <v>0</v>
      </c>
      <c r="I146" s="21">
        <f>INSS($D146,Alíquotas!$C$5,Alíquotas!$C$6,Alíquotas!$C$7)</f>
        <v>0</v>
      </c>
      <c r="J146" s="21">
        <f>IF(D146-I146&lt;=Alíquotas!$G$5, 0, IF(D146-I146&lt;=Alíquotas!$G$6, D146*Alíquotas!$H$6, IF(D146-I146&lt;=Alíquotas!$G$7, D146*Alíquotas!$H$7, IF(D146-I146&lt;=Alíquotas!$G$8, D146*Alíquotas!$H$8, D146*Alíquotas!$H$9))))</f>
        <v>0</v>
      </c>
      <c r="K146" s="21">
        <f t="shared" si="20"/>
        <v>0</v>
      </c>
      <c r="L146" s="21">
        <f t="shared" si="21"/>
        <v>0</v>
      </c>
      <c r="M146" s="21">
        <f t="shared" si="23"/>
        <v>0</v>
      </c>
      <c r="N146" s="21">
        <f t="shared" si="18"/>
        <v>0</v>
      </c>
      <c r="O146" s="21">
        <f t="shared" si="24"/>
        <v>0</v>
      </c>
    </row>
    <row r="147" spans="1:15" x14ac:dyDescent="0.25">
      <c r="A147" s="19"/>
      <c r="B147" s="20"/>
      <c r="C147" s="20"/>
      <c r="D147" s="21"/>
      <c r="E147" s="31"/>
      <c r="F147" s="21">
        <f t="shared" si="19"/>
        <v>0</v>
      </c>
      <c r="G147" s="31"/>
      <c r="H147" s="21">
        <f t="shared" si="22"/>
        <v>0</v>
      </c>
      <c r="I147" s="21">
        <f>INSS($D147,Alíquotas!$C$5,Alíquotas!$C$6,Alíquotas!$C$7)</f>
        <v>0</v>
      </c>
      <c r="J147" s="21">
        <f>IF(D147-I147&lt;=Alíquotas!$G$5, 0, IF(D147-I147&lt;=Alíquotas!$G$6, D147*Alíquotas!$H$6, IF(D147-I147&lt;=Alíquotas!$G$7, D147*Alíquotas!$H$7, IF(D147-I147&lt;=Alíquotas!$G$8, D147*Alíquotas!$H$8, D147*Alíquotas!$H$9))))</f>
        <v>0</v>
      </c>
      <c r="K147" s="21">
        <f t="shared" si="20"/>
        <v>0</v>
      </c>
      <c r="L147" s="21">
        <f t="shared" si="21"/>
        <v>0</v>
      </c>
      <c r="M147" s="21">
        <f t="shared" si="23"/>
        <v>0</v>
      </c>
      <c r="N147" s="21">
        <f t="shared" si="18"/>
        <v>0</v>
      </c>
      <c r="O147" s="21">
        <f t="shared" si="24"/>
        <v>0</v>
      </c>
    </row>
    <row r="148" spans="1:15" x14ac:dyDescent="0.25">
      <c r="A148" s="19"/>
      <c r="B148" s="20"/>
      <c r="C148" s="20"/>
      <c r="D148" s="21"/>
      <c r="E148" s="31"/>
      <c r="F148" s="21">
        <f t="shared" si="19"/>
        <v>0</v>
      </c>
      <c r="G148" s="31"/>
      <c r="H148" s="21">
        <f t="shared" si="22"/>
        <v>0</v>
      </c>
      <c r="I148" s="21">
        <f>INSS($D148,Alíquotas!$C$5,Alíquotas!$C$6,Alíquotas!$C$7)</f>
        <v>0</v>
      </c>
      <c r="J148" s="21">
        <f>IF(D148-I148&lt;=Alíquotas!$G$5, 0, IF(D148-I148&lt;=Alíquotas!$G$6, D148*Alíquotas!$H$6, IF(D148-I148&lt;=Alíquotas!$G$7, D148*Alíquotas!$H$7, IF(D148-I148&lt;=Alíquotas!$G$8, D148*Alíquotas!$H$8, D148*Alíquotas!$H$9))))</f>
        <v>0</v>
      </c>
      <c r="K148" s="21">
        <f t="shared" si="20"/>
        <v>0</v>
      </c>
      <c r="L148" s="21">
        <f t="shared" si="21"/>
        <v>0</v>
      </c>
      <c r="M148" s="21">
        <f t="shared" si="23"/>
        <v>0</v>
      </c>
      <c r="N148" s="21">
        <f t="shared" si="18"/>
        <v>0</v>
      </c>
      <c r="O148" s="21">
        <f t="shared" si="24"/>
        <v>0</v>
      </c>
    </row>
    <row r="149" spans="1:15" x14ac:dyDescent="0.25">
      <c r="A149" s="19"/>
      <c r="B149" s="20"/>
      <c r="C149" s="20"/>
      <c r="D149" s="21"/>
      <c r="E149" s="31"/>
      <c r="F149" s="21">
        <f t="shared" si="19"/>
        <v>0</v>
      </c>
      <c r="G149" s="31"/>
      <c r="H149" s="21">
        <f t="shared" si="22"/>
        <v>0</v>
      </c>
      <c r="I149" s="21">
        <f>INSS($D149,Alíquotas!$C$5,Alíquotas!$C$6,Alíquotas!$C$7)</f>
        <v>0</v>
      </c>
      <c r="J149" s="21">
        <f>IF(D149-I149&lt;=Alíquotas!$G$5, 0, IF(D149-I149&lt;=Alíquotas!$G$6, D149*Alíquotas!$H$6, IF(D149-I149&lt;=Alíquotas!$G$7, D149*Alíquotas!$H$7, IF(D149-I149&lt;=Alíquotas!$G$8, D149*Alíquotas!$H$8, D149*Alíquotas!$H$9))))</f>
        <v>0</v>
      </c>
      <c r="K149" s="21">
        <f t="shared" si="20"/>
        <v>0</v>
      </c>
      <c r="L149" s="21">
        <f t="shared" si="21"/>
        <v>0</v>
      </c>
      <c r="M149" s="21">
        <f t="shared" si="23"/>
        <v>0</v>
      </c>
      <c r="N149" s="21">
        <f t="shared" si="18"/>
        <v>0</v>
      </c>
      <c r="O149" s="21">
        <f t="shared" si="24"/>
        <v>0</v>
      </c>
    </row>
    <row r="150" spans="1:15" x14ac:dyDescent="0.25">
      <c r="A150" s="19"/>
      <c r="B150" s="20"/>
      <c r="C150" s="20"/>
      <c r="D150" s="21"/>
      <c r="E150" s="31"/>
      <c r="F150" s="21">
        <f t="shared" si="19"/>
        <v>0</v>
      </c>
      <c r="G150" s="31"/>
      <c r="H150" s="21">
        <f t="shared" si="22"/>
        <v>0</v>
      </c>
      <c r="I150" s="21">
        <f>INSS($D150,Alíquotas!$C$5,Alíquotas!$C$6,Alíquotas!$C$7)</f>
        <v>0</v>
      </c>
      <c r="J150" s="21">
        <f>IF(D150-I150&lt;=Alíquotas!$G$5, 0, IF(D150-I150&lt;=Alíquotas!$G$6, D150*Alíquotas!$H$6, IF(D150-I150&lt;=Alíquotas!$G$7, D150*Alíquotas!$H$7, IF(D150-I150&lt;=Alíquotas!$G$8, D150*Alíquotas!$H$8, D150*Alíquotas!$H$9))))</f>
        <v>0</v>
      </c>
      <c r="K150" s="21">
        <f t="shared" si="20"/>
        <v>0</v>
      </c>
      <c r="L150" s="21">
        <f t="shared" si="21"/>
        <v>0</v>
      </c>
      <c r="M150" s="21">
        <f t="shared" si="23"/>
        <v>0</v>
      </c>
      <c r="N150" s="21">
        <f t="shared" si="18"/>
        <v>0</v>
      </c>
      <c r="O150" s="21">
        <f t="shared" si="24"/>
        <v>0</v>
      </c>
    </row>
    <row r="151" spans="1:15" x14ac:dyDescent="0.25">
      <c r="A151" s="19"/>
      <c r="B151" s="20"/>
      <c r="C151" s="20"/>
      <c r="D151" s="21"/>
      <c r="E151" s="31"/>
      <c r="F151" s="21">
        <f t="shared" si="19"/>
        <v>0</v>
      </c>
      <c r="G151" s="31"/>
      <c r="H151" s="21">
        <f t="shared" si="22"/>
        <v>0</v>
      </c>
      <c r="I151" s="21">
        <f>INSS($D151,Alíquotas!$C$5,Alíquotas!$C$6,Alíquotas!$C$7)</f>
        <v>0</v>
      </c>
      <c r="J151" s="21">
        <f>IF(D151-I151&lt;=Alíquotas!$G$5, 0, IF(D151-I151&lt;=Alíquotas!$G$6, D151*Alíquotas!$H$6, IF(D151-I151&lt;=Alíquotas!$G$7, D151*Alíquotas!$H$7, IF(D151-I151&lt;=Alíquotas!$G$8, D151*Alíquotas!$H$8, D151*Alíquotas!$H$9))))</f>
        <v>0</v>
      </c>
      <c r="K151" s="21">
        <f t="shared" si="20"/>
        <v>0</v>
      </c>
      <c r="L151" s="21">
        <f t="shared" si="21"/>
        <v>0</v>
      </c>
      <c r="M151" s="21">
        <f t="shared" si="23"/>
        <v>0</v>
      </c>
      <c r="N151" s="21">
        <f t="shared" ref="N151:N214" si="25">FERIAS($O151,$D151)</f>
        <v>0</v>
      </c>
      <c r="O151" s="21">
        <f t="shared" si="24"/>
        <v>0</v>
      </c>
    </row>
    <row r="152" spans="1:15" x14ac:dyDescent="0.25">
      <c r="A152" s="19"/>
      <c r="B152" s="20"/>
      <c r="C152" s="20"/>
      <c r="D152" s="21"/>
      <c r="E152" s="31"/>
      <c r="F152" s="21">
        <f t="shared" si="19"/>
        <v>0</v>
      </c>
      <c r="G152" s="31"/>
      <c r="H152" s="21">
        <f t="shared" si="22"/>
        <v>0</v>
      </c>
      <c r="I152" s="21">
        <f>INSS($D152,Alíquotas!$C$5,Alíquotas!$C$6,Alíquotas!$C$7)</f>
        <v>0</v>
      </c>
      <c r="J152" s="21">
        <f>IF(D152-I152&lt;=Alíquotas!$G$5, 0, IF(D152-I152&lt;=Alíquotas!$G$6, D152*Alíquotas!$H$6, IF(D152-I152&lt;=Alíquotas!$G$7, D152*Alíquotas!$H$7, IF(D152-I152&lt;=Alíquotas!$G$8, D152*Alíquotas!$H$8, D152*Alíquotas!$H$9))))</f>
        <v>0</v>
      </c>
      <c r="K152" s="21">
        <f t="shared" si="20"/>
        <v>0</v>
      </c>
      <c r="L152" s="21">
        <f t="shared" si="21"/>
        <v>0</v>
      </c>
      <c r="M152" s="21">
        <f t="shared" si="23"/>
        <v>0</v>
      </c>
      <c r="N152" s="21">
        <f t="shared" si="25"/>
        <v>0</v>
      </c>
      <c r="O152" s="21">
        <f t="shared" si="24"/>
        <v>0</v>
      </c>
    </row>
    <row r="153" spans="1:15" x14ac:dyDescent="0.25">
      <c r="A153" s="19"/>
      <c r="B153" s="20"/>
      <c r="C153" s="20"/>
      <c r="D153" s="21"/>
      <c r="E153" s="31"/>
      <c r="F153" s="21">
        <f t="shared" si="19"/>
        <v>0</v>
      </c>
      <c r="G153" s="31"/>
      <c r="H153" s="21">
        <f t="shared" si="22"/>
        <v>0</v>
      </c>
      <c r="I153" s="21">
        <f>INSS($D153,Alíquotas!$C$5,Alíquotas!$C$6,Alíquotas!$C$7)</f>
        <v>0</v>
      </c>
      <c r="J153" s="21">
        <f>IF(D153-I153&lt;=Alíquotas!$G$5, 0, IF(D153-I153&lt;=Alíquotas!$G$6, D153*Alíquotas!$H$6, IF(D153-I153&lt;=Alíquotas!$G$7, D153*Alíquotas!$H$7, IF(D153-I153&lt;=Alíquotas!$G$8, D153*Alíquotas!$H$8, D153*Alíquotas!$H$9))))</f>
        <v>0</v>
      </c>
      <c r="K153" s="21">
        <f t="shared" si="20"/>
        <v>0</v>
      </c>
      <c r="L153" s="21">
        <f t="shared" si="21"/>
        <v>0</v>
      </c>
      <c r="M153" s="21">
        <f t="shared" si="23"/>
        <v>0</v>
      </c>
      <c r="N153" s="21">
        <f t="shared" si="25"/>
        <v>0</v>
      </c>
      <c r="O153" s="21">
        <f t="shared" si="24"/>
        <v>0</v>
      </c>
    </row>
    <row r="154" spans="1:15" x14ac:dyDescent="0.25">
      <c r="A154" s="19"/>
      <c r="B154" s="20"/>
      <c r="C154" s="20"/>
      <c r="D154" s="21"/>
      <c r="E154" s="31"/>
      <c r="F154" s="21">
        <f t="shared" si="19"/>
        <v>0</v>
      </c>
      <c r="G154" s="31"/>
      <c r="H154" s="21">
        <f t="shared" si="22"/>
        <v>0</v>
      </c>
      <c r="I154" s="21">
        <f>INSS($D154,Alíquotas!$C$5,Alíquotas!$C$6,Alíquotas!$C$7)</f>
        <v>0</v>
      </c>
      <c r="J154" s="21">
        <f>IF(D154-I154&lt;=Alíquotas!$G$5, 0, IF(D154-I154&lt;=Alíquotas!$G$6, D154*Alíquotas!$H$6, IF(D154-I154&lt;=Alíquotas!$G$7, D154*Alíquotas!$H$7, IF(D154-I154&lt;=Alíquotas!$G$8, D154*Alíquotas!$H$8, D154*Alíquotas!$H$9))))</f>
        <v>0</v>
      </c>
      <c r="K154" s="21">
        <f t="shared" si="20"/>
        <v>0</v>
      </c>
      <c r="L154" s="21">
        <f t="shared" si="21"/>
        <v>0</v>
      </c>
      <c r="M154" s="21">
        <f t="shared" si="23"/>
        <v>0</v>
      </c>
      <c r="N154" s="21">
        <f t="shared" si="25"/>
        <v>0</v>
      </c>
      <c r="O154" s="21">
        <f t="shared" si="24"/>
        <v>0</v>
      </c>
    </row>
    <row r="155" spans="1:15" x14ac:dyDescent="0.25">
      <c r="A155" s="19"/>
      <c r="B155" s="20"/>
      <c r="C155" s="20"/>
      <c r="D155" s="21"/>
      <c r="E155" s="31"/>
      <c r="F155" s="21">
        <f t="shared" si="19"/>
        <v>0</v>
      </c>
      <c r="G155" s="31"/>
      <c r="H155" s="21">
        <f t="shared" si="22"/>
        <v>0</v>
      </c>
      <c r="I155" s="21">
        <f>INSS($D155,Alíquotas!$C$5,Alíquotas!$C$6,Alíquotas!$C$7)</f>
        <v>0</v>
      </c>
      <c r="J155" s="21">
        <f>IF(D155-I155&lt;=Alíquotas!$G$5, 0, IF(D155-I155&lt;=Alíquotas!$G$6, D155*Alíquotas!$H$6, IF(D155-I155&lt;=Alíquotas!$G$7, D155*Alíquotas!$H$7, IF(D155-I155&lt;=Alíquotas!$G$8, D155*Alíquotas!$H$8, D155*Alíquotas!$H$9))))</f>
        <v>0</v>
      </c>
      <c r="K155" s="21">
        <f t="shared" si="20"/>
        <v>0</v>
      </c>
      <c r="L155" s="21">
        <f t="shared" si="21"/>
        <v>0</v>
      </c>
      <c r="M155" s="21">
        <f t="shared" si="23"/>
        <v>0</v>
      </c>
      <c r="N155" s="21">
        <f t="shared" si="25"/>
        <v>0</v>
      </c>
      <c r="O155" s="21">
        <f t="shared" si="24"/>
        <v>0</v>
      </c>
    </row>
    <row r="156" spans="1:15" x14ac:dyDescent="0.25">
      <c r="A156" s="19"/>
      <c r="B156" s="20"/>
      <c r="C156" s="20"/>
      <c r="D156" s="21"/>
      <c r="E156" s="31"/>
      <c r="F156" s="21">
        <f t="shared" si="19"/>
        <v>0</v>
      </c>
      <c r="G156" s="31"/>
      <c r="H156" s="21">
        <f t="shared" si="22"/>
        <v>0</v>
      </c>
      <c r="I156" s="21">
        <f>INSS($D156,Alíquotas!$C$5,Alíquotas!$C$6,Alíquotas!$C$7)</f>
        <v>0</v>
      </c>
      <c r="J156" s="21">
        <f>IF(D156-I156&lt;=Alíquotas!$G$5, 0, IF(D156-I156&lt;=Alíquotas!$G$6, D156*Alíquotas!$H$6, IF(D156-I156&lt;=Alíquotas!$G$7, D156*Alíquotas!$H$7, IF(D156-I156&lt;=Alíquotas!$G$8, D156*Alíquotas!$H$8, D156*Alíquotas!$H$9))))</f>
        <v>0</v>
      </c>
      <c r="K156" s="21">
        <f t="shared" si="20"/>
        <v>0</v>
      </c>
      <c r="L156" s="21">
        <f t="shared" si="21"/>
        <v>0</v>
      </c>
      <c r="M156" s="21">
        <f t="shared" si="23"/>
        <v>0</v>
      </c>
      <c r="N156" s="21">
        <f t="shared" si="25"/>
        <v>0</v>
      </c>
      <c r="O156" s="21">
        <f t="shared" si="24"/>
        <v>0</v>
      </c>
    </row>
    <row r="157" spans="1:15" x14ac:dyDescent="0.25">
      <c r="A157" s="19"/>
      <c r="B157" s="20"/>
      <c r="C157" s="20"/>
      <c r="D157" s="21"/>
      <c r="E157" s="31"/>
      <c r="F157" s="21">
        <f t="shared" si="19"/>
        <v>0</v>
      </c>
      <c r="G157" s="31"/>
      <c r="H157" s="21">
        <f t="shared" si="22"/>
        <v>0</v>
      </c>
      <c r="I157" s="21">
        <f>INSS($D157,Alíquotas!$C$5,Alíquotas!$C$6,Alíquotas!$C$7)</f>
        <v>0</v>
      </c>
      <c r="J157" s="21">
        <f>IF(D157-I157&lt;=Alíquotas!$G$5, 0, IF(D157-I157&lt;=Alíquotas!$G$6, D157*Alíquotas!$H$6, IF(D157-I157&lt;=Alíquotas!$G$7, D157*Alíquotas!$H$7, IF(D157-I157&lt;=Alíquotas!$G$8, D157*Alíquotas!$H$8, D157*Alíquotas!$H$9))))</f>
        <v>0</v>
      </c>
      <c r="K157" s="21">
        <f t="shared" si="20"/>
        <v>0</v>
      </c>
      <c r="L157" s="21">
        <f t="shared" si="21"/>
        <v>0</v>
      </c>
      <c r="M157" s="21">
        <f t="shared" si="23"/>
        <v>0</v>
      </c>
      <c r="N157" s="21">
        <f t="shared" si="25"/>
        <v>0</v>
      </c>
      <c r="O157" s="21">
        <f t="shared" si="24"/>
        <v>0</v>
      </c>
    </row>
    <row r="158" spans="1:15" x14ac:dyDescent="0.25">
      <c r="A158" s="19"/>
      <c r="B158" s="20"/>
      <c r="C158" s="20"/>
      <c r="D158" s="21"/>
      <c r="E158" s="31"/>
      <c r="F158" s="21">
        <f t="shared" si="19"/>
        <v>0</v>
      </c>
      <c r="G158" s="31"/>
      <c r="H158" s="21">
        <f t="shared" si="22"/>
        <v>0</v>
      </c>
      <c r="I158" s="21">
        <f>INSS($D158,Alíquotas!$C$5,Alíquotas!$C$6,Alíquotas!$C$7)</f>
        <v>0</v>
      </c>
      <c r="J158" s="21">
        <f>IF(D158-I158&lt;=Alíquotas!$G$5, 0, IF(D158-I158&lt;=Alíquotas!$G$6, D158*Alíquotas!$H$6, IF(D158-I158&lt;=Alíquotas!$G$7, D158*Alíquotas!$H$7, IF(D158-I158&lt;=Alíquotas!$G$8, D158*Alíquotas!$H$8, D158*Alíquotas!$H$9))))</f>
        <v>0</v>
      </c>
      <c r="K158" s="21">
        <f t="shared" si="20"/>
        <v>0</v>
      </c>
      <c r="L158" s="21">
        <f t="shared" si="21"/>
        <v>0</v>
      </c>
      <c r="M158" s="21">
        <f t="shared" si="23"/>
        <v>0</v>
      </c>
      <c r="N158" s="21">
        <f t="shared" si="25"/>
        <v>0</v>
      </c>
      <c r="O158" s="21">
        <f t="shared" si="24"/>
        <v>0</v>
      </c>
    </row>
    <row r="159" spans="1:15" x14ac:dyDescent="0.25">
      <c r="A159" s="19"/>
      <c r="B159" s="20"/>
      <c r="C159" s="20"/>
      <c r="D159" s="21"/>
      <c r="E159" s="31"/>
      <c r="F159" s="21">
        <f t="shared" si="19"/>
        <v>0</v>
      </c>
      <c r="G159" s="31"/>
      <c r="H159" s="21">
        <f t="shared" si="22"/>
        <v>0</v>
      </c>
      <c r="I159" s="21">
        <f>INSS($D159,Alíquotas!$C$5,Alíquotas!$C$6,Alíquotas!$C$7)</f>
        <v>0</v>
      </c>
      <c r="J159" s="21">
        <f>IF(D159-I159&lt;=Alíquotas!$G$5, 0, IF(D159-I159&lt;=Alíquotas!$G$6, D159*Alíquotas!$H$6, IF(D159-I159&lt;=Alíquotas!$G$7, D159*Alíquotas!$H$7, IF(D159-I159&lt;=Alíquotas!$G$8, D159*Alíquotas!$H$8, D159*Alíquotas!$H$9))))</f>
        <v>0</v>
      </c>
      <c r="K159" s="21">
        <f t="shared" si="20"/>
        <v>0</v>
      </c>
      <c r="L159" s="21">
        <f t="shared" si="21"/>
        <v>0</v>
      </c>
      <c r="M159" s="21">
        <f t="shared" si="23"/>
        <v>0</v>
      </c>
      <c r="N159" s="21">
        <f t="shared" si="25"/>
        <v>0</v>
      </c>
      <c r="O159" s="21">
        <f t="shared" si="24"/>
        <v>0</v>
      </c>
    </row>
    <row r="160" spans="1:15" x14ac:dyDescent="0.25">
      <c r="A160" s="19"/>
      <c r="B160" s="20"/>
      <c r="C160" s="20"/>
      <c r="D160" s="21"/>
      <c r="E160" s="31"/>
      <c r="F160" s="21">
        <f t="shared" si="19"/>
        <v>0</v>
      </c>
      <c r="G160" s="31"/>
      <c r="H160" s="21">
        <f t="shared" si="22"/>
        <v>0</v>
      </c>
      <c r="I160" s="21">
        <f>INSS($D160,Alíquotas!$C$5,Alíquotas!$C$6,Alíquotas!$C$7)</f>
        <v>0</v>
      </c>
      <c r="J160" s="21">
        <f>IF(D160-I160&lt;=Alíquotas!$G$5, 0, IF(D160-I160&lt;=Alíquotas!$G$6, D160*Alíquotas!$H$6, IF(D160-I160&lt;=Alíquotas!$G$7, D160*Alíquotas!$H$7, IF(D160-I160&lt;=Alíquotas!$G$8, D160*Alíquotas!$H$8, D160*Alíquotas!$H$9))))</f>
        <v>0</v>
      </c>
      <c r="K160" s="21">
        <f t="shared" si="20"/>
        <v>0</v>
      </c>
      <c r="L160" s="21">
        <f t="shared" si="21"/>
        <v>0</v>
      </c>
      <c r="M160" s="21">
        <f t="shared" si="23"/>
        <v>0</v>
      </c>
      <c r="N160" s="21">
        <f t="shared" si="25"/>
        <v>0</v>
      </c>
      <c r="O160" s="21">
        <f t="shared" si="24"/>
        <v>0</v>
      </c>
    </row>
    <row r="161" spans="1:15" x14ac:dyDescent="0.25">
      <c r="A161" s="19"/>
      <c r="B161" s="20"/>
      <c r="C161" s="20"/>
      <c r="D161" s="21"/>
      <c r="E161" s="31"/>
      <c r="F161" s="21">
        <f t="shared" si="19"/>
        <v>0</v>
      </c>
      <c r="G161" s="31"/>
      <c r="H161" s="21">
        <f t="shared" si="22"/>
        <v>0</v>
      </c>
      <c r="I161" s="21">
        <f>INSS($D161,Alíquotas!$C$5,Alíquotas!$C$6,Alíquotas!$C$7)</f>
        <v>0</v>
      </c>
      <c r="J161" s="21">
        <f>IF(D161-I161&lt;=Alíquotas!$G$5, 0, IF(D161-I161&lt;=Alíquotas!$G$6, D161*Alíquotas!$H$6, IF(D161-I161&lt;=Alíquotas!$G$7, D161*Alíquotas!$H$7, IF(D161-I161&lt;=Alíquotas!$G$8, D161*Alíquotas!$H$8, D161*Alíquotas!$H$9))))</f>
        <v>0</v>
      </c>
      <c r="K161" s="21">
        <f t="shared" si="20"/>
        <v>0</v>
      </c>
      <c r="L161" s="21">
        <f t="shared" si="21"/>
        <v>0</v>
      </c>
      <c r="M161" s="21">
        <f t="shared" si="23"/>
        <v>0</v>
      </c>
      <c r="N161" s="21">
        <f t="shared" si="25"/>
        <v>0</v>
      </c>
      <c r="O161" s="21">
        <f t="shared" si="24"/>
        <v>0</v>
      </c>
    </row>
    <row r="162" spans="1:15" x14ac:dyDescent="0.25">
      <c r="A162" s="19"/>
      <c r="B162" s="20"/>
      <c r="C162" s="20"/>
      <c r="D162" s="21"/>
      <c r="E162" s="31"/>
      <c r="F162" s="21">
        <f t="shared" si="19"/>
        <v>0</v>
      </c>
      <c r="G162" s="31"/>
      <c r="H162" s="21">
        <f t="shared" si="22"/>
        <v>0</v>
      </c>
      <c r="I162" s="21">
        <f>INSS($D162,Alíquotas!$C$5,Alíquotas!$C$6,Alíquotas!$C$7)</f>
        <v>0</v>
      </c>
      <c r="J162" s="21">
        <f>IF(D162-I162&lt;=Alíquotas!$G$5, 0, IF(D162-I162&lt;=Alíquotas!$G$6, D162*Alíquotas!$H$6, IF(D162-I162&lt;=Alíquotas!$G$7, D162*Alíquotas!$H$7, IF(D162-I162&lt;=Alíquotas!$G$8, D162*Alíquotas!$H$8, D162*Alíquotas!$H$9))))</f>
        <v>0</v>
      </c>
      <c r="K162" s="21">
        <f t="shared" si="20"/>
        <v>0</v>
      </c>
      <c r="L162" s="21">
        <f t="shared" si="21"/>
        <v>0</v>
      </c>
      <c r="M162" s="21">
        <f t="shared" si="23"/>
        <v>0</v>
      </c>
      <c r="N162" s="21">
        <f t="shared" si="25"/>
        <v>0</v>
      </c>
      <c r="O162" s="21">
        <f t="shared" si="24"/>
        <v>0</v>
      </c>
    </row>
    <row r="163" spans="1:15" x14ac:dyDescent="0.25">
      <c r="A163" s="19"/>
      <c r="B163" s="20"/>
      <c r="C163" s="20"/>
      <c r="D163" s="21"/>
      <c r="E163" s="31"/>
      <c r="F163" s="21">
        <f t="shared" si="19"/>
        <v>0</v>
      </c>
      <c r="G163" s="31"/>
      <c r="H163" s="21">
        <f t="shared" si="22"/>
        <v>0</v>
      </c>
      <c r="I163" s="21">
        <f>INSS($D163,Alíquotas!$C$5,Alíquotas!$C$6,Alíquotas!$C$7)</f>
        <v>0</v>
      </c>
      <c r="J163" s="21">
        <f>IF(D163-I163&lt;=Alíquotas!$G$5, 0, IF(D163-I163&lt;=Alíquotas!$G$6, D163*Alíquotas!$H$6, IF(D163-I163&lt;=Alíquotas!$G$7, D163*Alíquotas!$H$7, IF(D163-I163&lt;=Alíquotas!$G$8, D163*Alíquotas!$H$8, D163*Alíquotas!$H$9))))</f>
        <v>0</v>
      </c>
      <c r="K163" s="21">
        <f t="shared" si="20"/>
        <v>0</v>
      </c>
      <c r="L163" s="21">
        <f t="shared" si="21"/>
        <v>0</v>
      </c>
      <c r="M163" s="21">
        <f t="shared" si="23"/>
        <v>0</v>
      </c>
      <c r="N163" s="21">
        <f t="shared" si="25"/>
        <v>0</v>
      </c>
      <c r="O163" s="21">
        <f t="shared" si="24"/>
        <v>0</v>
      </c>
    </row>
    <row r="164" spans="1:15" x14ac:dyDescent="0.25">
      <c r="A164" s="19"/>
      <c r="B164" s="20"/>
      <c r="C164" s="20"/>
      <c r="D164" s="21"/>
      <c r="E164" s="31"/>
      <c r="F164" s="21">
        <f t="shared" si="19"/>
        <v>0</v>
      </c>
      <c r="G164" s="31"/>
      <c r="H164" s="21">
        <f t="shared" si="22"/>
        <v>0</v>
      </c>
      <c r="I164" s="21">
        <f>INSS($D164,Alíquotas!$C$5,Alíquotas!$C$6,Alíquotas!$C$7)</f>
        <v>0</v>
      </c>
      <c r="J164" s="21">
        <f>IF(D164-I164&lt;=Alíquotas!$G$5, 0, IF(D164-I164&lt;=Alíquotas!$G$6, D164*Alíquotas!$H$6, IF(D164-I164&lt;=Alíquotas!$G$7, D164*Alíquotas!$H$7, IF(D164-I164&lt;=Alíquotas!$G$8, D164*Alíquotas!$H$8, D164*Alíquotas!$H$9))))</f>
        <v>0</v>
      </c>
      <c r="K164" s="21">
        <f t="shared" si="20"/>
        <v>0</v>
      </c>
      <c r="L164" s="21">
        <f t="shared" si="21"/>
        <v>0</v>
      </c>
      <c r="M164" s="21">
        <f t="shared" si="23"/>
        <v>0</v>
      </c>
      <c r="N164" s="21">
        <f t="shared" si="25"/>
        <v>0</v>
      </c>
      <c r="O164" s="21">
        <f t="shared" si="24"/>
        <v>0</v>
      </c>
    </row>
    <row r="165" spans="1:15" x14ac:dyDescent="0.25">
      <c r="A165" s="19"/>
      <c r="B165" s="20"/>
      <c r="C165" s="20"/>
      <c r="D165" s="21"/>
      <c r="E165" s="31"/>
      <c r="F165" s="21">
        <f t="shared" si="19"/>
        <v>0</v>
      </c>
      <c r="G165" s="31"/>
      <c r="H165" s="21">
        <f t="shared" si="22"/>
        <v>0</v>
      </c>
      <c r="I165" s="21">
        <f>INSS($D165,Alíquotas!$C$5,Alíquotas!$C$6,Alíquotas!$C$7)</f>
        <v>0</v>
      </c>
      <c r="J165" s="21">
        <f>IF(D165-I165&lt;=Alíquotas!$G$5, 0, IF(D165-I165&lt;=Alíquotas!$G$6, D165*Alíquotas!$H$6, IF(D165-I165&lt;=Alíquotas!$G$7, D165*Alíquotas!$H$7, IF(D165-I165&lt;=Alíquotas!$G$8, D165*Alíquotas!$H$8, D165*Alíquotas!$H$9))))</f>
        <v>0</v>
      </c>
      <c r="K165" s="21">
        <f t="shared" si="20"/>
        <v>0</v>
      </c>
      <c r="L165" s="21">
        <f t="shared" si="21"/>
        <v>0</v>
      </c>
      <c r="M165" s="21">
        <f t="shared" si="23"/>
        <v>0</v>
      </c>
      <c r="N165" s="21">
        <f t="shared" si="25"/>
        <v>0</v>
      </c>
      <c r="O165" s="21">
        <f t="shared" si="24"/>
        <v>0</v>
      </c>
    </row>
    <row r="166" spans="1:15" x14ac:dyDescent="0.25">
      <c r="A166" s="19"/>
      <c r="B166" s="20"/>
      <c r="C166" s="20"/>
      <c r="D166" s="21"/>
      <c r="E166" s="31"/>
      <c r="F166" s="21">
        <f t="shared" si="19"/>
        <v>0</v>
      </c>
      <c r="G166" s="31"/>
      <c r="H166" s="21">
        <f t="shared" si="22"/>
        <v>0</v>
      </c>
      <c r="I166" s="21">
        <f>INSS($D166,Alíquotas!$C$5,Alíquotas!$C$6,Alíquotas!$C$7)</f>
        <v>0</v>
      </c>
      <c r="J166" s="21">
        <f>IF(D166-I166&lt;=Alíquotas!$G$5, 0, IF(D166-I166&lt;=Alíquotas!$G$6, D166*Alíquotas!$H$6, IF(D166-I166&lt;=Alíquotas!$G$7, D166*Alíquotas!$H$7, IF(D166-I166&lt;=Alíquotas!$G$8, D166*Alíquotas!$H$8, D166*Alíquotas!$H$9))))</f>
        <v>0</v>
      </c>
      <c r="K166" s="21">
        <f t="shared" si="20"/>
        <v>0</v>
      </c>
      <c r="L166" s="21">
        <f t="shared" si="21"/>
        <v>0</v>
      </c>
      <c r="M166" s="21">
        <f t="shared" si="23"/>
        <v>0</v>
      </c>
      <c r="N166" s="21">
        <f t="shared" si="25"/>
        <v>0</v>
      </c>
      <c r="O166" s="21">
        <f t="shared" si="24"/>
        <v>0</v>
      </c>
    </row>
    <row r="167" spans="1:15" x14ac:dyDescent="0.25">
      <c r="A167" s="19"/>
      <c r="B167" s="20"/>
      <c r="C167" s="20"/>
      <c r="D167" s="21"/>
      <c r="E167" s="31"/>
      <c r="F167" s="21">
        <f t="shared" si="19"/>
        <v>0</v>
      </c>
      <c r="G167" s="31"/>
      <c r="H167" s="21">
        <f t="shared" si="22"/>
        <v>0</v>
      </c>
      <c r="I167" s="21">
        <f>IF(D167&lt;=Alíquotas!$B$5,D167*Alíquotas!$C$5,IF(D167&lt;=Alíquotas!$B$6,D167*Alíquotas!$C$6,D167*Alíquotas!$C$7))</f>
        <v>0</v>
      </c>
      <c r="J167" s="21">
        <f>IF(D167-I167&lt;=Alíquotas!$G$5, 0, IF(D167-I167&lt;=Alíquotas!$G$6, D167*Alíquotas!$H$6, IF(D167-I167&lt;=Alíquotas!$G$7, D167*Alíquotas!$H$7, IF(D167-I167&lt;=Alíquotas!$G$8, D167*Alíquotas!$H$8, D167*Alíquotas!$H$9))))</f>
        <v>0</v>
      </c>
      <c r="K167" s="21">
        <f t="shared" si="20"/>
        <v>0</v>
      </c>
      <c r="L167" s="21">
        <f t="shared" si="21"/>
        <v>0</v>
      </c>
      <c r="M167" s="21">
        <f t="shared" si="23"/>
        <v>0</v>
      </c>
      <c r="N167" s="21">
        <f t="shared" si="25"/>
        <v>0</v>
      </c>
      <c r="O167" s="21">
        <f t="shared" si="24"/>
        <v>0</v>
      </c>
    </row>
    <row r="168" spans="1:15" x14ac:dyDescent="0.25">
      <c r="A168" s="19"/>
      <c r="B168" s="20"/>
      <c r="C168" s="20"/>
      <c r="D168" s="21"/>
      <c r="E168" s="31"/>
      <c r="F168" s="21">
        <f t="shared" si="19"/>
        <v>0</v>
      </c>
      <c r="G168" s="31"/>
      <c r="H168" s="21">
        <f t="shared" si="22"/>
        <v>0</v>
      </c>
      <c r="I168" s="21">
        <f>IF(D168&lt;=Alíquotas!$B$5,D168*Alíquotas!$C$5,IF(D168&lt;=Alíquotas!$B$6,D168*Alíquotas!$C$6,D168*Alíquotas!$C$7))</f>
        <v>0</v>
      </c>
      <c r="J168" s="21">
        <f>IF(D168-I168&lt;=Alíquotas!$G$5, 0, IF(D168-I168&lt;=Alíquotas!$G$6, D168*Alíquotas!$H$6, IF(D168-I168&lt;=Alíquotas!$G$7, D168*Alíquotas!$H$7, IF(D168-I168&lt;=Alíquotas!$G$8, D168*Alíquotas!$H$8, D168*Alíquotas!$H$9))))</f>
        <v>0</v>
      </c>
      <c r="K168" s="21">
        <f t="shared" si="20"/>
        <v>0</v>
      </c>
      <c r="L168" s="21">
        <f t="shared" si="21"/>
        <v>0</v>
      </c>
      <c r="M168" s="21">
        <f t="shared" si="23"/>
        <v>0</v>
      </c>
      <c r="N168" s="21">
        <f t="shared" si="25"/>
        <v>0</v>
      </c>
      <c r="O168" s="21">
        <f t="shared" si="24"/>
        <v>0</v>
      </c>
    </row>
    <row r="169" spans="1:15" x14ac:dyDescent="0.25">
      <c r="A169" s="19"/>
      <c r="B169" s="20"/>
      <c r="C169" s="20"/>
      <c r="D169" s="21"/>
      <c r="E169" s="31"/>
      <c r="F169" s="21">
        <f t="shared" ref="F169:F232" si="26">HORA_EXTRA(D169,E169)</f>
        <v>0</v>
      </c>
      <c r="G169" s="31"/>
      <c r="H169" s="21">
        <f t="shared" si="22"/>
        <v>0</v>
      </c>
      <c r="I169" s="21">
        <f>IF(D169&lt;=Alíquotas!$B$5,D169*Alíquotas!$C$5,IF(D169&lt;=Alíquotas!$B$6,D169*Alíquotas!$C$6,D169*Alíquotas!$C$7))</f>
        <v>0</v>
      </c>
      <c r="J169" s="21">
        <f>IF(D169-I169&lt;=Alíquotas!$G$5, 0, IF(D169-I169&lt;=Alíquotas!$G$6, D169*Alíquotas!$H$6, IF(D169-I169&lt;=Alíquotas!$G$7, D169*Alíquotas!$H$7, IF(D169-I169&lt;=Alíquotas!$G$8, D169*Alíquotas!$H$8, D169*Alíquotas!$H$9))))</f>
        <v>0</v>
      </c>
      <c r="K169" s="21">
        <f t="shared" ref="K169:K232" si="27">SUM(H169+I169+J169)</f>
        <v>0</v>
      </c>
      <c r="L169" s="21">
        <f t="shared" ref="L169:L232" si="28">D169-K169+F169</f>
        <v>0</v>
      </c>
      <c r="M169" s="21">
        <f t="shared" si="23"/>
        <v>0</v>
      </c>
      <c r="N169" s="21">
        <f t="shared" si="25"/>
        <v>0</v>
      </c>
      <c r="O169" s="21">
        <f t="shared" si="24"/>
        <v>0</v>
      </c>
    </row>
    <row r="170" spans="1:15" x14ac:dyDescent="0.25">
      <c r="A170" s="19"/>
      <c r="B170" s="20"/>
      <c r="C170" s="20"/>
      <c r="D170" s="21"/>
      <c r="E170" s="31"/>
      <c r="F170" s="21">
        <f t="shared" si="26"/>
        <v>0</v>
      </c>
      <c r="G170" s="31"/>
      <c r="H170" s="21">
        <f t="shared" si="22"/>
        <v>0</v>
      </c>
      <c r="I170" s="21">
        <f>IF(D170&lt;=Alíquotas!$B$5,D170*Alíquotas!$C$5,IF(D170&lt;=Alíquotas!$B$6,D170*Alíquotas!$C$6,D170*Alíquotas!$C$7))</f>
        <v>0</v>
      </c>
      <c r="J170" s="21">
        <f>IF(D170-I170&lt;=Alíquotas!$G$5, 0, IF(D170-I170&lt;=Alíquotas!$G$6, D170*Alíquotas!$H$6, IF(D170-I170&lt;=Alíquotas!$G$7, D170*Alíquotas!$H$7, IF(D170-I170&lt;=Alíquotas!$G$8, D170*Alíquotas!$H$8, D170*Alíquotas!$H$9))))</f>
        <v>0</v>
      </c>
      <c r="K170" s="21">
        <f t="shared" si="27"/>
        <v>0</v>
      </c>
      <c r="L170" s="21">
        <f t="shared" si="28"/>
        <v>0</v>
      </c>
      <c r="M170" s="21">
        <f t="shared" si="23"/>
        <v>0</v>
      </c>
      <c r="N170" s="21">
        <f t="shared" si="25"/>
        <v>0</v>
      </c>
      <c r="O170" s="21">
        <f t="shared" si="24"/>
        <v>0</v>
      </c>
    </row>
    <row r="171" spans="1:15" x14ac:dyDescent="0.25">
      <c r="A171" s="19"/>
      <c r="B171" s="20"/>
      <c r="C171" s="20"/>
      <c r="D171" s="21"/>
      <c r="E171" s="31"/>
      <c r="F171" s="21">
        <f t="shared" si="26"/>
        <v>0</v>
      </c>
      <c r="G171" s="31"/>
      <c r="H171" s="21">
        <f t="shared" si="22"/>
        <v>0</v>
      </c>
      <c r="I171" s="21">
        <f>IF(D171&lt;=Alíquotas!$B$5,D171*Alíquotas!$C$5,IF(D171&lt;=Alíquotas!$B$6,D171*Alíquotas!$C$6,D171*Alíquotas!$C$7))</f>
        <v>0</v>
      </c>
      <c r="J171" s="21">
        <f>IF(D171-I171&lt;=Alíquotas!$G$5, 0, IF(D171-I171&lt;=Alíquotas!$G$6, D171*Alíquotas!$H$6, IF(D171-I171&lt;=Alíquotas!$G$7, D171*Alíquotas!$H$7, IF(D171-I171&lt;=Alíquotas!$G$8, D171*Alíquotas!$H$8, D171*Alíquotas!$H$9))))</f>
        <v>0</v>
      </c>
      <c r="K171" s="21">
        <f t="shared" si="27"/>
        <v>0</v>
      </c>
      <c r="L171" s="21">
        <f t="shared" si="28"/>
        <v>0</v>
      </c>
      <c r="M171" s="21">
        <f t="shared" si="23"/>
        <v>0</v>
      </c>
      <c r="N171" s="21">
        <f t="shared" si="25"/>
        <v>0</v>
      </c>
      <c r="O171" s="21">
        <f t="shared" si="24"/>
        <v>0</v>
      </c>
    </row>
    <row r="172" spans="1:15" x14ac:dyDescent="0.25">
      <c r="A172" s="19"/>
      <c r="B172" s="20"/>
      <c r="C172" s="20"/>
      <c r="D172" s="21"/>
      <c r="E172" s="31"/>
      <c r="F172" s="21">
        <f t="shared" si="26"/>
        <v>0</v>
      </c>
      <c r="G172" s="31"/>
      <c r="H172" s="21">
        <f t="shared" si="22"/>
        <v>0</v>
      </c>
      <c r="I172" s="21">
        <f>IF(D172&lt;=Alíquotas!$B$5,D172*Alíquotas!$C$5,IF(D172&lt;=Alíquotas!$B$6,D172*Alíquotas!$C$6,D172*Alíquotas!$C$7))</f>
        <v>0</v>
      </c>
      <c r="J172" s="21">
        <f>IF(D172-I172&lt;=Alíquotas!$G$5, 0, IF(D172-I172&lt;=Alíquotas!$G$6, D172*Alíquotas!$H$6, IF(D172-I172&lt;=Alíquotas!$G$7, D172*Alíquotas!$H$7, IF(D172-I172&lt;=Alíquotas!$G$8, D172*Alíquotas!$H$8, D172*Alíquotas!$H$9))))</f>
        <v>0</v>
      </c>
      <c r="K172" s="21">
        <f t="shared" si="27"/>
        <v>0</v>
      </c>
      <c r="L172" s="21">
        <f t="shared" si="28"/>
        <v>0</v>
      </c>
      <c r="M172" s="21">
        <f t="shared" si="23"/>
        <v>0</v>
      </c>
      <c r="N172" s="21">
        <f t="shared" si="25"/>
        <v>0</v>
      </c>
      <c r="O172" s="21">
        <f t="shared" si="24"/>
        <v>0</v>
      </c>
    </row>
    <row r="173" spans="1:15" x14ac:dyDescent="0.25">
      <c r="A173" s="19"/>
      <c r="B173" s="20"/>
      <c r="C173" s="20"/>
      <c r="D173" s="21"/>
      <c r="E173" s="31"/>
      <c r="F173" s="21">
        <f t="shared" si="26"/>
        <v>0</v>
      </c>
      <c r="G173" s="31"/>
      <c r="H173" s="21">
        <f t="shared" si="22"/>
        <v>0</v>
      </c>
      <c r="I173" s="21">
        <f>IF(D173&lt;=Alíquotas!$B$5,D173*Alíquotas!$C$5,IF(D173&lt;=Alíquotas!$B$6,D173*Alíquotas!$C$6,D173*Alíquotas!$C$7))</f>
        <v>0</v>
      </c>
      <c r="J173" s="21">
        <f>IF(D173-I173&lt;=Alíquotas!$G$5, 0, IF(D173-I173&lt;=Alíquotas!$G$6, D173*Alíquotas!$H$6, IF(D173-I173&lt;=Alíquotas!$G$7, D173*Alíquotas!$H$7, IF(D173-I173&lt;=Alíquotas!$G$8, D173*Alíquotas!$H$8, D173*Alíquotas!$H$9))))</f>
        <v>0</v>
      </c>
      <c r="K173" s="21">
        <f t="shared" si="27"/>
        <v>0</v>
      </c>
      <c r="L173" s="21">
        <f t="shared" si="28"/>
        <v>0</v>
      </c>
      <c r="M173" s="21">
        <f t="shared" si="23"/>
        <v>0</v>
      </c>
      <c r="N173" s="21">
        <f t="shared" si="25"/>
        <v>0</v>
      </c>
      <c r="O173" s="21">
        <f t="shared" si="24"/>
        <v>0</v>
      </c>
    </row>
    <row r="174" spans="1:15" x14ac:dyDescent="0.25">
      <c r="A174" s="19"/>
      <c r="B174" s="20"/>
      <c r="C174" s="20"/>
      <c r="D174" s="21"/>
      <c r="E174" s="31"/>
      <c r="F174" s="21">
        <f t="shared" si="26"/>
        <v>0</v>
      </c>
      <c r="G174" s="31"/>
      <c r="H174" s="21">
        <f t="shared" si="22"/>
        <v>0</v>
      </c>
      <c r="I174" s="21">
        <f>IF(D174&lt;=Alíquotas!$B$5,D174*Alíquotas!$C$5,IF(D174&lt;=Alíquotas!$B$6,D174*Alíquotas!$C$6,D174*Alíquotas!$C$7))</f>
        <v>0</v>
      </c>
      <c r="J174" s="21">
        <f>IF(D174-I174&lt;=Alíquotas!$G$5, 0, IF(D174-I174&lt;=Alíquotas!$G$6, D174*Alíquotas!$H$6, IF(D174-I174&lt;=Alíquotas!$G$7, D174*Alíquotas!$H$7, IF(D174-I174&lt;=Alíquotas!$G$8, D174*Alíquotas!$H$8, D174*Alíquotas!$H$9))))</f>
        <v>0</v>
      </c>
      <c r="K174" s="21">
        <f t="shared" si="27"/>
        <v>0</v>
      </c>
      <c r="L174" s="21">
        <f t="shared" si="28"/>
        <v>0</v>
      </c>
      <c r="M174" s="21">
        <f t="shared" si="23"/>
        <v>0</v>
      </c>
      <c r="N174" s="21">
        <f t="shared" si="25"/>
        <v>0</v>
      </c>
      <c r="O174" s="21">
        <f t="shared" si="24"/>
        <v>0</v>
      </c>
    </row>
    <row r="175" spans="1:15" x14ac:dyDescent="0.25">
      <c r="A175" s="19"/>
      <c r="B175" s="20"/>
      <c r="C175" s="20"/>
      <c r="D175" s="21"/>
      <c r="E175" s="31"/>
      <c r="F175" s="21">
        <f t="shared" si="26"/>
        <v>0</v>
      </c>
      <c r="G175" s="31"/>
      <c r="H175" s="21">
        <f t="shared" si="22"/>
        <v>0</v>
      </c>
      <c r="I175" s="21">
        <f>IF(D175&lt;=Alíquotas!$B$5,D175*Alíquotas!$C$5,IF(D175&lt;=Alíquotas!$B$6,D175*Alíquotas!$C$6,D175*Alíquotas!$C$7))</f>
        <v>0</v>
      </c>
      <c r="J175" s="21">
        <f>IF(D175-I175&lt;=Alíquotas!$G$5, 0, IF(D175-I175&lt;=Alíquotas!$G$6, D175*Alíquotas!$H$6, IF(D175-I175&lt;=Alíquotas!$G$7, D175*Alíquotas!$H$7, IF(D175-I175&lt;=Alíquotas!$G$8, D175*Alíquotas!$H$8, D175*Alíquotas!$H$9))))</f>
        <v>0</v>
      </c>
      <c r="K175" s="21">
        <f t="shared" si="27"/>
        <v>0</v>
      </c>
      <c r="L175" s="21">
        <f t="shared" si="28"/>
        <v>0</v>
      </c>
      <c r="M175" s="21">
        <f t="shared" si="23"/>
        <v>0</v>
      </c>
      <c r="N175" s="21">
        <f t="shared" si="25"/>
        <v>0</v>
      </c>
      <c r="O175" s="21">
        <f t="shared" si="24"/>
        <v>0</v>
      </c>
    </row>
    <row r="176" spans="1:15" x14ac:dyDescent="0.25">
      <c r="A176" s="19"/>
      <c r="B176" s="20"/>
      <c r="C176" s="20"/>
      <c r="D176" s="21"/>
      <c r="E176" s="31"/>
      <c r="F176" s="21">
        <f t="shared" si="26"/>
        <v>0</v>
      </c>
      <c r="G176" s="31"/>
      <c r="H176" s="21">
        <f t="shared" si="22"/>
        <v>0</v>
      </c>
      <c r="I176" s="21">
        <f>IF(D176&lt;=Alíquotas!$B$5,D176*Alíquotas!$C$5,IF(D176&lt;=Alíquotas!$B$6,D176*Alíquotas!$C$6,D176*Alíquotas!$C$7))</f>
        <v>0</v>
      </c>
      <c r="J176" s="21">
        <f>IF(D176-I176&lt;=Alíquotas!$G$5, 0, IF(D176-I176&lt;=Alíquotas!$G$6, D176*Alíquotas!$H$6, IF(D176-I176&lt;=Alíquotas!$G$7, D176*Alíquotas!$H$7, IF(D176-I176&lt;=Alíquotas!$G$8, D176*Alíquotas!$H$8, D176*Alíquotas!$H$9))))</f>
        <v>0</v>
      </c>
      <c r="K176" s="21">
        <f t="shared" si="27"/>
        <v>0</v>
      </c>
      <c r="L176" s="21">
        <f t="shared" si="28"/>
        <v>0</v>
      </c>
      <c r="M176" s="21">
        <f t="shared" si="23"/>
        <v>0</v>
      </c>
      <c r="N176" s="21">
        <f t="shared" si="25"/>
        <v>0</v>
      </c>
      <c r="O176" s="21">
        <f t="shared" si="24"/>
        <v>0</v>
      </c>
    </row>
    <row r="177" spans="1:15" x14ac:dyDescent="0.25">
      <c r="A177" s="19"/>
      <c r="B177" s="20"/>
      <c r="C177" s="20"/>
      <c r="D177" s="21"/>
      <c r="E177" s="31"/>
      <c r="F177" s="21">
        <f t="shared" si="26"/>
        <v>0</v>
      </c>
      <c r="G177" s="31"/>
      <c r="H177" s="21">
        <f t="shared" si="22"/>
        <v>0</v>
      </c>
      <c r="I177" s="21">
        <f>IF(D177&lt;=Alíquotas!$B$5,D177*Alíquotas!$C$5,IF(D177&lt;=Alíquotas!$B$6,D177*Alíquotas!$C$6,D177*Alíquotas!$C$7))</f>
        <v>0</v>
      </c>
      <c r="J177" s="21">
        <f>IF(D177-I177&lt;=Alíquotas!$G$5, 0, IF(D177-I177&lt;=Alíquotas!$G$6, D177*Alíquotas!$H$6, IF(D177-I177&lt;=Alíquotas!$G$7, D177*Alíquotas!$H$7, IF(D177-I177&lt;=Alíquotas!$G$8, D177*Alíquotas!$H$8, D177*Alíquotas!$H$9))))</f>
        <v>0</v>
      </c>
      <c r="K177" s="21">
        <f t="shared" si="27"/>
        <v>0</v>
      </c>
      <c r="L177" s="21">
        <f t="shared" si="28"/>
        <v>0</v>
      </c>
      <c r="M177" s="21">
        <f t="shared" si="23"/>
        <v>0</v>
      </c>
      <c r="N177" s="21">
        <f t="shared" si="25"/>
        <v>0</v>
      </c>
      <c r="O177" s="21">
        <f t="shared" si="24"/>
        <v>0</v>
      </c>
    </row>
    <row r="178" spans="1:15" x14ac:dyDescent="0.25">
      <c r="A178" s="19"/>
      <c r="B178" s="20"/>
      <c r="C178" s="20"/>
      <c r="D178" s="21"/>
      <c r="E178" s="31"/>
      <c r="F178" s="21">
        <f t="shared" si="26"/>
        <v>0</v>
      </c>
      <c r="G178" s="31"/>
      <c r="H178" s="21">
        <f t="shared" si="22"/>
        <v>0</v>
      </c>
      <c r="I178" s="21">
        <f>IF(D178&lt;=Alíquotas!$B$5,D178*Alíquotas!$C$5,IF(D178&lt;=Alíquotas!$B$6,D178*Alíquotas!$C$6,D178*Alíquotas!$C$7))</f>
        <v>0</v>
      </c>
      <c r="J178" s="21">
        <f>IF(D178-I178&lt;=Alíquotas!$G$5, 0, IF(D178-I178&lt;=Alíquotas!$G$6, D178*Alíquotas!$H$6, IF(D178-I178&lt;=Alíquotas!$G$7, D178*Alíquotas!$H$7, IF(D178-I178&lt;=Alíquotas!$G$8, D178*Alíquotas!$H$8, D178*Alíquotas!$H$9))))</f>
        <v>0</v>
      </c>
      <c r="K178" s="21">
        <f t="shared" si="27"/>
        <v>0</v>
      </c>
      <c r="L178" s="21">
        <f t="shared" si="28"/>
        <v>0</v>
      </c>
      <c r="M178" s="21">
        <f t="shared" si="23"/>
        <v>0</v>
      </c>
      <c r="N178" s="21">
        <f t="shared" si="25"/>
        <v>0</v>
      </c>
      <c r="O178" s="21">
        <f t="shared" si="24"/>
        <v>0</v>
      </c>
    </row>
    <row r="179" spans="1:15" x14ac:dyDescent="0.25">
      <c r="A179" s="19"/>
      <c r="B179" s="20"/>
      <c r="C179" s="20"/>
      <c r="D179" s="21"/>
      <c r="E179" s="31"/>
      <c r="F179" s="21">
        <f t="shared" si="26"/>
        <v>0</v>
      </c>
      <c r="G179" s="31"/>
      <c r="H179" s="21">
        <f t="shared" si="22"/>
        <v>0</v>
      </c>
      <c r="I179" s="21">
        <f>IF(D179&lt;=Alíquotas!$B$5,D179*Alíquotas!$C$5,IF(D179&lt;=Alíquotas!$B$6,D179*Alíquotas!$C$6,D179*Alíquotas!$C$7))</f>
        <v>0</v>
      </c>
      <c r="J179" s="21">
        <f>IF(D179-I179&lt;=Alíquotas!$G$5, 0, IF(D179-I179&lt;=Alíquotas!$G$6, D179*Alíquotas!$H$6, IF(D179-I179&lt;=Alíquotas!$G$7, D179*Alíquotas!$H$7, IF(D179-I179&lt;=Alíquotas!$G$8, D179*Alíquotas!$H$8, D179*Alíquotas!$H$9))))</f>
        <v>0</v>
      </c>
      <c r="K179" s="21">
        <f t="shared" si="27"/>
        <v>0</v>
      </c>
      <c r="L179" s="21">
        <f t="shared" si="28"/>
        <v>0</v>
      </c>
      <c r="M179" s="21">
        <f t="shared" si="23"/>
        <v>0</v>
      </c>
      <c r="N179" s="21">
        <f t="shared" si="25"/>
        <v>0</v>
      </c>
      <c r="O179" s="21">
        <f t="shared" si="24"/>
        <v>0</v>
      </c>
    </row>
    <row r="180" spans="1:15" x14ac:dyDescent="0.25">
      <c r="A180" s="19"/>
      <c r="B180" s="20"/>
      <c r="C180" s="20"/>
      <c r="D180" s="21"/>
      <c r="E180" s="31"/>
      <c r="F180" s="21">
        <f t="shared" si="26"/>
        <v>0</v>
      </c>
      <c r="G180" s="31"/>
      <c r="H180" s="21">
        <f t="shared" si="22"/>
        <v>0</v>
      </c>
      <c r="I180" s="21">
        <f>IF(D180&lt;=Alíquotas!$B$5,D180*Alíquotas!$C$5,IF(D180&lt;=Alíquotas!$B$6,D180*Alíquotas!$C$6,D180*Alíquotas!$C$7))</f>
        <v>0</v>
      </c>
      <c r="J180" s="21">
        <f>IF(D180-I180&lt;=Alíquotas!$G$5, 0, IF(D180-I180&lt;=Alíquotas!$G$6, D180*Alíquotas!$H$6, IF(D180-I180&lt;=Alíquotas!$G$7, D180*Alíquotas!$H$7, IF(D180-I180&lt;=Alíquotas!$G$8, D180*Alíquotas!$H$8, D180*Alíquotas!$H$9))))</f>
        <v>0</v>
      </c>
      <c r="K180" s="21">
        <f t="shared" si="27"/>
        <v>0</v>
      </c>
      <c r="L180" s="21">
        <f t="shared" si="28"/>
        <v>0</v>
      </c>
      <c r="M180" s="21">
        <f t="shared" si="23"/>
        <v>0</v>
      </c>
      <c r="N180" s="21">
        <f t="shared" si="25"/>
        <v>0</v>
      </c>
      <c r="O180" s="21">
        <f t="shared" si="24"/>
        <v>0</v>
      </c>
    </row>
    <row r="181" spans="1:15" x14ac:dyDescent="0.25">
      <c r="A181" s="19"/>
      <c r="B181" s="20"/>
      <c r="C181" s="20"/>
      <c r="D181" s="21"/>
      <c r="E181" s="31"/>
      <c r="F181" s="21">
        <f t="shared" si="26"/>
        <v>0</v>
      </c>
      <c r="G181" s="31"/>
      <c r="H181" s="21">
        <f t="shared" si="22"/>
        <v>0</v>
      </c>
      <c r="I181" s="21">
        <f>IF(D181&lt;=Alíquotas!$B$5,D181*Alíquotas!$C$5,IF(D181&lt;=Alíquotas!$B$6,D181*Alíquotas!$C$6,D181*Alíquotas!$C$7))</f>
        <v>0</v>
      </c>
      <c r="J181" s="21">
        <f>IF(D181-I181&lt;=Alíquotas!$G$5, 0, IF(D181-I181&lt;=Alíquotas!$G$6, D181*Alíquotas!$H$6, IF(D181-I181&lt;=Alíquotas!$G$7, D181*Alíquotas!$H$7, IF(D181-I181&lt;=Alíquotas!$G$8, D181*Alíquotas!$H$8, D181*Alíquotas!$H$9))))</f>
        <v>0</v>
      </c>
      <c r="K181" s="21">
        <f t="shared" si="27"/>
        <v>0</v>
      </c>
      <c r="L181" s="21">
        <f t="shared" si="28"/>
        <v>0</v>
      </c>
      <c r="M181" s="21">
        <f t="shared" si="23"/>
        <v>0</v>
      </c>
      <c r="N181" s="21">
        <f t="shared" si="25"/>
        <v>0</v>
      </c>
      <c r="O181" s="21">
        <f t="shared" si="24"/>
        <v>0</v>
      </c>
    </row>
    <row r="182" spans="1:15" x14ac:dyDescent="0.25">
      <c r="A182" s="19"/>
      <c r="B182" s="20"/>
      <c r="C182" s="20"/>
      <c r="D182" s="21"/>
      <c r="E182" s="31"/>
      <c r="F182" s="21">
        <f t="shared" si="26"/>
        <v>0</v>
      </c>
      <c r="G182" s="31"/>
      <c r="H182" s="21">
        <f t="shared" si="22"/>
        <v>0</v>
      </c>
      <c r="I182" s="21">
        <f>IF(D182&lt;=Alíquotas!$B$5,D182*Alíquotas!$C$5,IF(D182&lt;=Alíquotas!$B$6,D182*Alíquotas!$C$6,D182*Alíquotas!$C$7))</f>
        <v>0</v>
      </c>
      <c r="J182" s="21">
        <f>IF(D182-I182&lt;=Alíquotas!$G$5, 0, IF(D182-I182&lt;=Alíquotas!$G$6, D182*Alíquotas!$H$6, IF(D182-I182&lt;=Alíquotas!$G$7, D182*Alíquotas!$H$7, IF(D182-I182&lt;=Alíquotas!$G$8, D182*Alíquotas!$H$8, D182*Alíquotas!$H$9))))</f>
        <v>0</v>
      </c>
      <c r="K182" s="21">
        <f t="shared" si="27"/>
        <v>0</v>
      </c>
      <c r="L182" s="21">
        <f t="shared" si="28"/>
        <v>0</v>
      </c>
      <c r="M182" s="21">
        <f t="shared" si="23"/>
        <v>0</v>
      </c>
      <c r="N182" s="21">
        <f t="shared" si="25"/>
        <v>0</v>
      </c>
      <c r="O182" s="21">
        <f t="shared" si="24"/>
        <v>0</v>
      </c>
    </row>
    <row r="183" spans="1:15" x14ac:dyDescent="0.25">
      <c r="A183" s="19"/>
      <c r="B183" s="20"/>
      <c r="C183" s="20"/>
      <c r="D183" s="21"/>
      <c r="E183" s="31"/>
      <c r="F183" s="21">
        <f t="shared" si="26"/>
        <v>0</v>
      </c>
      <c r="G183" s="31"/>
      <c r="H183" s="21">
        <f t="shared" si="22"/>
        <v>0</v>
      </c>
      <c r="I183" s="21">
        <f>IF(D183&lt;=Alíquotas!$B$5,D183*Alíquotas!$C$5,IF(D183&lt;=Alíquotas!$B$6,D183*Alíquotas!$C$6,D183*Alíquotas!$C$7))</f>
        <v>0</v>
      </c>
      <c r="J183" s="21">
        <f>IF(D183-I183&lt;=Alíquotas!$G$5, 0, IF(D183-I183&lt;=Alíquotas!$G$6, D183*Alíquotas!$H$6, IF(D183-I183&lt;=Alíquotas!$G$7, D183*Alíquotas!$H$7, IF(D183-I183&lt;=Alíquotas!$G$8, D183*Alíquotas!$H$8, D183*Alíquotas!$H$9))))</f>
        <v>0</v>
      </c>
      <c r="K183" s="21">
        <f t="shared" si="27"/>
        <v>0</v>
      </c>
      <c r="L183" s="21">
        <f t="shared" si="28"/>
        <v>0</v>
      </c>
      <c r="M183" s="21">
        <f t="shared" si="23"/>
        <v>0</v>
      </c>
      <c r="N183" s="21">
        <f t="shared" si="25"/>
        <v>0</v>
      </c>
      <c r="O183" s="21">
        <f t="shared" si="24"/>
        <v>0</v>
      </c>
    </row>
    <row r="184" spans="1:15" x14ac:dyDescent="0.25">
      <c r="A184" s="19"/>
      <c r="B184" s="20"/>
      <c r="C184" s="20"/>
      <c r="D184" s="21"/>
      <c r="E184" s="31"/>
      <c r="F184" s="21">
        <f t="shared" si="26"/>
        <v>0</v>
      </c>
      <c r="G184" s="31"/>
      <c r="H184" s="21">
        <f t="shared" si="22"/>
        <v>0</v>
      </c>
      <c r="I184" s="21">
        <f>IF(D184&lt;=Alíquotas!$B$5,D184*Alíquotas!$C$5,IF(D184&lt;=Alíquotas!$B$6,D184*Alíquotas!$C$6,D184*Alíquotas!$C$7))</f>
        <v>0</v>
      </c>
      <c r="J184" s="21">
        <f>IF(D184-I184&lt;=Alíquotas!$G$5, 0, IF(D184-I184&lt;=Alíquotas!$G$6, D184*Alíquotas!$H$6, IF(D184-I184&lt;=Alíquotas!$G$7, D184*Alíquotas!$H$7, IF(D184-I184&lt;=Alíquotas!$G$8, D184*Alíquotas!$H$8, D184*Alíquotas!$H$9))))</f>
        <v>0</v>
      </c>
      <c r="K184" s="21">
        <f t="shared" si="27"/>
        <v>0</v>
      </c>
      <c r="L184" s="21">
        <f t="shared" si="28"/>
        <v>0</v>
      </c>
      <c r="M184" s="21">
        <f t="shared" si="23"/>
        <v>0</v>
      </c>
      <c r="N184" s="21">
        <f t="shared" si="25"/>
        <v>0</v>
      </c>
      <c r="O184" s="21">
        <f t="shared" si="24"/>
        <v>0</v>
      </c>
    </row>
    <row r="185" spans="1:15" x14ac:dyDescent="0.25">
      <c r="A185" s="19"/>
      <c r="B185" s="20"/>
      <c r="C185" s="20"/>
      <c r="D185" s="21"/>
      <c r="E185" s="31"/>
      <c r="F185" s="21">
        <f t="shared" si="26"/>
        <v>0</v>
      </c>
      <c r="G185" s="31"/>
      <c r="H185" s="21">
        <f t="shared" si="22"/>
        <v>0</v>
      </c>
      <c r="I185" s="21">
        <f>IF(D185&lt;=Alíquotas!$B$5,D185*Alíquotas!$C$5,IF(D185&lt;=Alíquotas!$B$6,D185*Alíquotas!$C$6,D185*Alíquotas!$C$7))</f>
        <v>0</v>
      </c>
      <c r="J185" s="21">
        <f>IF(D185-I185&lt;=Alíquotas!$G$5, 0, IF(D185-I185&lt;=Alíquotas!$G$6, D185*Alíquotas!$H$6, IF(D185-I185&lt;=Alíquotas!$G$7, D185*Alíquotas!$H$7, IF(D185-I185&lt;=Alíquotas!$G$8, D185*Alíquotas!$H$8, D185*Alíquotas!$H$9))))</f>
        <v>0</v>
      </c>
      <c r="K185" s="21">
        <f t="shared" si="27"/>
        <v>0</v>
      </c>
      <c r="L185" s="21">
        <f t="shared" si="28"/>
        <v>0</v>
      </c>
      <c r="M185" s="21">
        <f t="shared" si="23"/>
        <v>0</v>
      </c>
      <c r="N185" s="21">
        <f t="shared" si="25"/>
        <v>0</v>
      </c>
      <c r="O185" s="21">
        <f t="shared" si="24"/>
        <v>0</v>
      </c>
    </row>
    <row r="186" spans="1:15" x14ac:dyDescent="0.25">
      <c r="A186" s="19"/>
      <c r="B186" s="20"/>
      <c r="C186" s="20"/>
      <c r="D186" s="21"/>
      <c r="E186" s="31"/>
      <c r="F186" s="21">
        <f t="shared" si="26"/>
        <v>0</v>
      </c>
      <c r="G186" s="31"/>
      <c r="H186" s="21">
        <f t="shared" si="22"/>
        <v>0</v>
      </c>
      <c r="I186" s="21">
        <f>IF(D186&lt;=Alíquotas!$B$5,D186*Alíquotas!$C$5,IF(D186&lt;=Alíquotas!$B$6,D186*Alíquotas!$C$6,D186*Alíquotas!$C$7))</f>
        <v>0</v>
      </c>
      <c r="J186" s="21">
        <f>IF(D186-I186&lt;=Alíquotas!$G$5, 0, IF(D186-I186&lt;=Alíquotas!$G$6, D186*Alíquotas!$H$6, IF(D186-I186&lt;=Alíquotas!$G$7, D186*Alíquotas!$H$7, IF(D186-I186&lt;=Alíquotas!$G$8, D186*Alíquotas!$H$8, D186*Alíquotas!$H$9))))</f>
        <v>0</v>
      </c>
      <c r="K186" s="21">
        <f t="shared" si="27"/>
        <v>0</v>
      </c>
      <c r="L186" s="21">
        <f t="shared" si="28"/>
        <v>0</v>
      </c>
      <c r="M186" s="21">
        <f t="shared" si="23"/>
        <v>0</v>
      </c>
      <c r="N186" s="21">
        <f t="shared" si="25"/>
        <v>0</v>
      </c>
      <c r="O186" s="21">
        <f t="shared" si="24"/>
        <v>0</v>
      </c>
    </row>
    <row r="187" spans="1:15" x14ac:dyDescent="0.25">
      <c r="A187" s="19"/>
      <c r="B187" s="20"/>
      <c r="C187" s="20"/>
      <c r="D187" s="21"/>
      <c r="E187" s="31"/>
      <c r="F187" s="21">
        <f t="shared" si="26"/>
        <v>0</v>
      </c>
      <c r="G187" s="31"/>
      <c r="H187" s="21">
        <f t="shared" si="22"/>
        <v>0</v>
      </c>
      <c r="I187" s="21">
        <f>IF(D187&lt;=Alíquotas!$B$5,D187*Alíquotas!$C$5,IF(D187&lt;=Alíquotas!$B$6,D187*Alíquotas!$C$6,D187*Alíquotas!$C$7))</f>
        <v>0</v>
      </c>
      <c r="J187" s="21">
        <f>IF(D187-I187&lt;=Alíquotas!$G$5, 0, IF(D187-I187&lt;=Alíquotas!$G$6, D187*Alíquotas!$H$6, IF(D187-I187&lt;=Alíquotas!$G$7, D187*Alíquotas!$H$7, IF(D187-I187&lt;=Alíquotas!$G$8, D187*Alíquotas!$H$8, D187*Alíquotas!$H$9))))</f>
        <v>0</v>
      </c>
      <c r="K187" s="21">
        <f t="shared" si="27"/>
        <v>0</v>
      </c>
      <c r="L187" s="21">
        <f t="shared" si="28"/>
        <v>0</v>
      </c>
      <c r="M187" s="21">
        <f t="shared" si="23"/>
        <v>0</v>
      </c>
      <c r="N187" s="21">
        <f t="shared" si="25"/>
        <v>0</v>
      </c>
      <c r="O187" s="21">
        <f t="shared" si="24"/>
        <v>0</v>
      </c>
    </row>
    <row r="188" spans="1:15" x14ac:dyDescent="0.25">
      <c r="A188" s="19"/>
      <c r="B188" s="20"/>
      <c r="C188" s="20"/>
      <c r="D188" s="21"/>
      <c r="E188" s="31"/>
      <c r="F188" s="21">
        <f t="shared" si="26"/>
        <v>0</v>
      </c>
      <c r="G188" s="31"/>
      <c r="H188" s="21">
        <f t="shared" si="22"/>
        <v>0</v>
      </c>
      <c r="I188" s="21">
        <f>IF(D188&lt;=Alíquotas!$B$5,D188*Alíquotas!$C$5,IF(D188&lt;=Alíquotas!$B$6,D188*Alíquotas!$C$6,D188*Alíquotas!$C$7))</f>
        <v>0</v>
      </c>
      <c r="J188" s="21">
        <f>IF(D188-I188&lt;=Alíquotas!$G$5, 0, IF(D188-I188&lt;=Alíquotas!$G$6, D188*Alíquotas!$H$6, IF(D188-I188&lt;=Alíquotas!$G$7, D188*Alíquotas!$H$7, IF(D188-I188&lt;=Alíquotas!$G$8, D188*Alíquotas!$H$8, D188*Alíquotas!$H$9))))</f>
        <v>0</v>
      </c>
      <c r="K188" s="21">
        <f t="shared" si="27"/>
        <v>0</v>
      </c>
      <c r="L188" s="21">
        <f t="shared" si="28"/>
        <v>0</v>
      </c>
      <c r="M188" s="21">
        <f t="shared" si="23"/>
        <v>0</v>
      </c>
      <c r="N188" s="21">
        <f t="shared" si="25"/>
        <v>0</v>
      </c>
      <c r="O188" s="21">
        <f t="shared" si="24"/>
        <v>0</v>
      </c>
    </row>
    <row r="189" spans="1:15" x14ac:dyDescent="0.25">
      <c r="A189" s="19"/>
      <c r="B189" s="20"/>
      <c r="C189" s="20"/>
      <c r="D189" s="21"/>
      <c r="E189" s="31"/>
      <c r="F189" s="21">
        <f t="shared" si="26"/>
        <v>0</v>
      </c>
      <c r="G189" s="31"/>
      <c r="H189" s="21">
        <f t="shared" si="22"/>
        <v>0</v>
      </c>
      <c r="I189" s="21">
        <f>IF(D189&lt;=Alíquotas!$B$5,D189*Alíquotas!$C$5,IF(D189&lt;=Alíquotas!$B$6,D189*Alíquotas!$C$6,D189*Alíquotas!$C$7))</f>
        <v>0</v>
      </c>
      <c r="J189" s="21">
        <f>IF(D189-I189&lt;=Alíquotas!$G$5, 0, IF(D189-I189&lt;=Alíquotas!$G$6, D189*Alíquotas!$H$6, IF(D189-I189&lt;=Alíquotas!$G$7, D189*Alíquotas!$H$7, IF(D189-I189&lt;=Alíquotas!$G$8, D189*Alíquotas!$H$8, D189*Alíquotas!$H$9))))</f>
        <v>0</v>
      </c>
      <c r="K189" s="21">
        <f t="shared" si="27"/>
        <v>0</v>
      </c>
      <c r="L189" s="21">
        <f t="shared" si="28"/>
        <v>0</v>
      </c>
      <c r="M189" s="21">
        <f t="shared" si="23"/>
        <v>0</v>
      </c>
      <c r="N189" s="21">
        <f t="shared" si="25"/>
        <v>0</v>
      </c>
      <c r="O189" s="21">
        <f t="shared" si="24"/>
        <v>0</v>
      </c>
    </row>
    <row r="190" spans="1:15" x14ac:dyDescent="0.25">
      <c r="A190" s="19"/>
      <c r="B190" s="20"/>
      <c r="C190" s="20"/>
      <c r="D190" s="21"/>
      <c r="E190" s="31"/>
      <c r="F190" s="21">
        <f t="shared" si="26"/>
        <v>0</v>
      </c>
      <c r="G190" s="31"/>
      <c r="H190" s="21">
        <f t="shared" si="22"/>
        <v>0</v>
      </c>
      <c r="I190" s="21">
        <f>IF(D190&lt;=Alíquotas!$B$5,D190*Alíquotas!$C$5,IF(D190&lt;=Alíquotas!$B$6,D190*Alíquotas!$C$6,D190*Alíquotas!$C$7))</f>
        <v>0</v>
      </c>
      <c r="J190" s="21">
        <f>IF(D190-I190&lt;=Alíquotas!$G$5, 0, IF(D190-I190&lt;=Alíquotas!$G$6, D190*Alíquotas!$H$6, IF(D190-I190&lt;=Alíquotas!$G$7, D190*Alíquotas!$H$7, IF(D190-I190&lt;=Alíquotas!$G$8, D190*Alíquotas!$H$8, D190*Alíquotas!$H$9))))</f>
        <v>0</v>
      </c>
      <c r="K190" s="21">
        <f t="shared" si="27"/>
        <v>0</v>
      </c>
      <c r="L190" s="21">
        <f t="shared" si="28"/>
        <v>0</v>
      </c>
      <c r="M190" s="21">
        <f t="shared" si="23"/>
        <v>0</v>
      </c>
      <c r="N190" s="21">
        <f t="shared" si="25"/>
        <v>0</v>
      </c>
      <c r="O190" s="21">
        <f t="shared" si="24"/>
        <v>0</v>
      </c>
    </row>
    <row r="191" spans="1:15" x14ac:dyDescent="0.25">
      <c r="A191" s="19"/>
      <c r="B191" s="20"/>
      <c r="C191" s="20"/>
      <c r="D191" s="21"/>
      <c r="E191" s="31"/>
      <c r="F191" s="21">
        <f t="shared" si="26"/>
        <v>0</v>
      </c>
      <c r="G191" s="31"/>
      <c r="H191" s="21">
        <f t="shared" si="22"/>
        <v>0</v>
      </c>
      <c r="I191" s="21">
        <f>IF(D191&lt;=Alíquotas!$B$5,D191*Alíquotas!$C$5,IF(D191&lt;=Alíquotas!$B$6,D191*Alíquotas!$C$6,D191*Alíquotas!$C$7))</f>
        <v>0</v>
      </c>
      <c r="J191" s="21">
        <f>IF(D191-I191&lt;=Alíquotas!$G$5, 0, IF(D191-I191&lt;=Alíquotas!$G$6, D191*Alíquotas!$H$6, IF(D191-I191&lt;=Alíquotas!$G$7, D191*Alíquotas!$H$7, IF(D191-I191&lt;=Alíquotas!$G$8, D191*Alíquotas!$H$8, D191*Alíquotas!$H$9))))</f>
        <v>0</v>
      </c>
      <c r="K191" s="21">
        <f t="shared" si="27"/>
        <v>0</v>
      </c>
      <c r="L191" s="21">
        <f t="shared" si="28"/>
        <v>0</v>
      </c>
      <c r="M191" s="21">
        <f t="shared" si="23"/>
        <v>0</v>
      </c>
      <c r="N191" s="21">
        <f t="shared" si="25"/>
        <v>0</v>
      </c>
      <c r="O191" s="21">
        <f t="shared" si="24"/>
        <v>0</v>
      </c>
    </row>
    <row r="192" spans="1:15" x14ac:dyDescent="0.25">
      <c r="A192" s="19"/>
      <c r="B192" s="20"/>
      <c r="C192" s="20"/>
      <c r="D192" s="21"/>
      <c r="E192" s="31"/>
      <c r="F192" s="21">
        <f t="shared" si="26"/>
        <v>0</v>
      </c>
      <c r="G192" s="31"/>
      <c r="H192" s="21">
        <f t="shared" si="22"/>
        <v>0</v>
      </c>
      <c r="I192" s="21">
        <f>IF(D192&lt;=Alíquotas!$B$5,D192*Alíquotas!$C$5,IF(D192&lt;=Alíquotas!$B$6,D192*Alíquotas!$C$6,D192*Alíquotas!$C$7))</f>
        <v>0</v>
      </c>
      <c r="J192" s="21">
        <f>IF(D192-I192&lt;=Alíquotas!$G$5, 0, IF(D192-I192&lt;=Alíquotas!$G$6, D192*Alíquotas!$H$6, IF(D192-I192&lt;=Alíquotas!$G$7, D192*Alíquotas!$H$7, IF(D192-I192&lt;=Alíquotas!$G$8, D192*Alíquotas!$H$8, D192*Alíquotas!$H$9))))</f>
        <v>0</v>
      </c>
      <c r="K192" s="21">
        <f t="shared" si="27"/>
        <v>0</v>
      </c>
      <c r="L192" s="21">
        <f t="shared" si="28"/>
        <v>0</v>
      </c>
      <c r="M192" s="21">
        <f t="shared" si="23"/>
        <v>0</v>
      </c>
      <c r="N192" s="21">
        <f t="shared" si="25"/>
        <v>0</v>
      </c>
      <c r="O192" s="21">
        <f t="shared" si="24"/>
        <v>0</v>
      </c>
    </row>
    <row r="193" spans="1:15" x14ac:dyDescent="0.25">
      <c r="A193" s="19"/>
      <c r="B193" s="20"/>
      <c r="C193" s="20"/>
      <c r="D193" s="21"/>
      <c r="E193" s="31"/>
      <c r="F193" s="21">
        <f t="shared" si="26"/>
        <v>0</v>
      </c>
      <c r="G193" s="31"/>
      <c r="H193" s="21">
        <f t="shared" si="22"/>
        <v>0</v>
      </c>
      <c r="I193" s="21">
        <f>IF(D193&lt;=Alíquotas!$B$5,D193*Alíquotas!$C$5,IF(D193&lt;=Alíquotas!$B$6,D193*Alíquotas!$C$6,D193*Alíquotas!$C$7))</f>
        <v>0</v>
      </c>
      <c r="J193" s="21">
        <f>IF(D193-I193&lt;=Alíquotas!$G$5, 0, IF(D193-I193&lt;=Alíquotas!$G$6, D193*Alíquotas!$H$6, IF(D193-I193&lt;=Alíquotas!$G$7, D193*Alíquotas!$H$7, IF(D193-I193&lt;=Alíquotas!$G$8, D193*Alíquotas!$H$8, D193*Alíquotas!$H$9))))</f>
        <v>0</v>
      </c>
      <c r="K193" s="21">
        <f t="shared" si="27"/>
        <v>0</v>
      </c>
      <c r="L193" s="21">
        <f t="shared" si="28"/>
        <v>0</v>
      </c>
      <c r="M193" s="21">
        <f t="shared" si="23"/>
        <v>0</v>
      </c>
      <c r="N193" s="21">
        <f t="shared" si="25"/>
        <v>0</v>
      </c>
      <c r="O193" s="21">
        <f t="shared" si="24"/>
        <v>0</v>
      </c>
    </row>
    <row r="194" spans="1:15" x14ac:dyDescent="0.25">
      <c r="A194" s="19"/>
      <c r="B194" s="20"/>
      <c r="C194" s="20"/>
      <c r="D194" s="21"/>
      <c r="E194" s="31"/>
      <c r="F194" s="21">
        <f t="shared" si="26"/>
        <v>0</v>
      </c>
      <c r="G194" s="31"/>
      <c r="H194" s="21">
        <f t="shared" si="22"/>
        <v>0</v>
      </c>
      <c r="I194" s="21">
        <f>IF(D194&lt;=Alíquotas!$B$5,D194*Alíquotas!$C$5,IF(D194&lt;=Alíquotas!$B$6,D194*Alíquotas!$C$6,D194*Alíquotas!$C$7))</f>
        <v>0</v>
      </c>
      <c r="J194" s="21">
        <f>IF(D194-I194&lt;=Alíquotas!$G$5, 0, IF(D194-I194&lt;=Alíquotas!$G$6, D194*Alíquotas!$H$6, IF(D194-I194&lt;=Alíquotas!$G$7, D194*Alíquotas!$H$7, IF(D194-I194&lt;=Alíquotas!$G$8, D194*Alíquotas!$H$8, D194*Alíquotas!$H$9))))</f>
        <v>0</v>
      </c>
      <c r="K194" s="21">
        <f t="shared" si="27"/>
        <v>0</v>
      </c>
      <c r="L194" s="21">
        <f t="shared" si="28"/>
        <v>0</v>
      </c>
      <c r="M194" s="21">
        <f t="shared" si="23"/>
        <v>0</v>
      </c>
      <c r="N194" s="21">
        <f t="shared" si="25"/>
        <v>0</v>
      </c>
      <c r="O194" s="21">
        <f t="shared" si="24"/>
        <v>0</v>
      </c>
    </row>
    <row r="195" spans="1:15" x14ac:dyDescent="0.25">
      <c r="A195" s="19"/>
      <c r="B195" s="20"/>
      <c r="C195" s="20"/>
      <c r="D195" s="21"/>
      <c r="E195" s="31"/>
      <c r="F195" s="21">
        <f t="shared" si="26"/>
        <v>0</v>
      </c>
      <c r="G195" s="31"/>
      <c r="H195" s="21">
        <f t="shared" si="22"/>
        <v>0</v>
      </c>
      <c r="I195" s="21">
        <f>IF(D195&lt;=Alíquotas!$B$5,D195*Alíquotas!$C$5,IF(D195&lt;=Alíquotas!$B$6,D195*Alíquotas!$C$6,D195*Alíquotas!$C$7))</f>
        <v>0</v>
      </c>
      <c r="J195" s="21">
        <f>IF(D195-I195&lt;=Alíquotas!$G$5, 0, IF(D195-I195&lt;=Alíquotas!$G$6, D195*Alíquotas!$H$6, IF(D195-I195&lt;=Alíquotas!$G$7, D195*Alíquotas!$H$7, IF(D195-I195&lt;=Alíquotas!$G$8, D195*Alíquotas!$H$8, D195*Alíquotas!$H$9))))</f>
        <v>0</v>
      </c>
      <c r="K195" s="21">
        <f t="shared" si="27"/>
        <v>0</v>
      </c>
      <c r="L195" s="21">
        <f t="shared" si="28"/>
        <v>0</v>
      </c>
      <c r="M195" s="21">
        <f t="shared" si="23"/>
        <v>0</v>
      </c>
      <c r="N195" s="21">
        <f t="shared" si="25"/>
        <v>0</v>
      </c>
      <c r="O195" s="21">
        <f t="shared" si="24"/>
        <v>0</v>
      </c>
    </row>
    <row r="196" spans="1:15" x14ac:dyDescent="0.25">
      <c r="A196" s="19"/>
      <c r="B196" s="20"/>
      <c r="C196" s="20"/>
      <c r="D196" s="21"/>
      <c r="E196" s="31"/>
      <c r="F196" s="21">
        <f t="shared" si="26"/>
        <v>0</v>
      </c>
      <c r="G196" s="31"/>
      <c r="H196" s="21">
        <f t="shared" si="22"/>
        <v>0</v>
      </c>
      <c r="I196" s="21">
        <f>IF(D196&lt;=Alíquotas!$B$5,D196*Alíquotas!$C$5,IF(D196&lt;=Alíquotas!$B$6,D196*Alíquotas!$C$6,D196*Alíquotas!$C$7))</f>
        <v>0</v>
      </c>
      <c r="J196" s="21">
        <f>IF(D196-I196&lt;=Alíquotas!$G$5, 0, IF(D196-I196&lt;=Alíquotas!$G$6, D196*Alíquotas!$H$6, IF(D196-I196&lt;=Alíquotas!$G$7, D196*Alíquotas!$H$7, IF(D196-I196&lt;=Alíquotas!$G$8, D196*Alíquotas!$H$8, D196*Alíquotas!$H$9))))</f>
        <v>0</v>
      </c>
      <c r="K196" s="21">
        <f t="shared" si="27"/>
        <v>0</v>
      </c>
      <c r="L196" s="21">
        <f t="shared" si="28"/>
        <v>0</v>
      </c>
      <c r="M196" s="21">
        <f t="shared" si="23"/>
        <v>0</v>
      </c>
      <c r="N196" s="21">
        <f t="shared" si="25"/>
        <v>0</v>
      </c>
      <c r="O196" s="21">
        <f t="shared" si="24"/>
        <v>0</v>
      </c>
    </row>
    <row r="197" spans="1:15" x14ac:dyDescent="0.25">
      <c r="A197" s="19"/>
      <c r="B197" s="20"/>
      <c r="C197" s="20"/>
      <c r="D197" s="21"/>
      <c r="E197" s="31"/>
      <c r="F197" s="21">
        <f t="shared" si="26"/>
        <v>0</v>
      </c>
      <c r="G197" s="31"/>
      <c r="H197" s="21">
        <f t="shared" si="22"/>
        <v>0</v>
      </c>
      <c r="I197" s="21">
        <f>IF(D197&lt;=Alíquotas!$B$5,D197*Alíquotas!$C$5,IF(D197&lt;=Alíquotas!$B$6,D197*Alíquotas!$C$6,D197*Alíquotas!$C$7))</f>
        <v>0</v>
      </c>
      <c r="J197" s="21">
        <f>IF(D197-I197&lt;=Alíquotas!$G$5, 0, IF(D197-I197&lt;=Alíquotas!$G$6, D197*Alíquotas!$H$6, IF(D197-I197&lt;=Alíquotas!$G$7, D197*Alíquotas!$H$7, IF(D197-I197&lt;=Alíquotas!$G$8, D197*Alíquotas!$H$8, D197*Alíquotas!$H$9))))</f>
        <v>0</v>
      </c>
      <c r="K197" s="21">
        <f t="shared" si="27"/>
        <v>0</v>
      </c>
      <c r="L197" s="21">
        <f t="shared" si="28"/>
        <v>0</v>
      </c>
      <c r="M197" s="21">
        <f t="shared" si="23"/>
        <v>0</v>
      </c>
      <c r="N197" s="21">
        <f t="shared" si="25"/>
        <v>0</v>
      </c>
      <c r="O197" s="21">
        <f t="shared" si="24"/>
        <v>0</v>
      </c>
    </row>
    <row r="198" spans="1:15" x14ac:dyDescent="0.25">
      <c r="A198" s="19"/>
      <c r="B198" s="20"/>
      <c r="C198" s="20"/>
      <c r="D198" s="21"/>
      <c r="E198" s="31"/>
      <c r="F198" s="21">
        <f t="shared" si="26"/>
        <v>0</v>
      </c>
      <c r="G198" s="31"/>
      <c r="H198" s="21">
        <f t="shared" si="22"/>
        <v>0</v>
      </c>
      <c r="I198" s="21">
        <f>IF(D198&lt;=Alíquotas!$B$5,D198*Alíquotas!$C$5,IF(D198&lt;=Alíquotas!$B$6,D198*Alíquotas!$C$6,D198*Alíquotas!$C$7))</f>
        <v>0</v>
      </c>
      <c r="J198" s="21">
        <f>IF(D198-I198&lt;=Alíquotas!$G$5, 0, IF(D198-I198&lt;=Alíquotas!$G$6, D198*Alíquotas!$H$6, IF(D198-I198&lt;=Alíquotas!$G$7, D198*Alíquotas!$H$7, IF(D198-I198&lt;=Alíquotas!$G$8, D198*Alíquotas!$H$8, D198*Alíquotas!$H$9))))</f>
        <v>0</v>
      </c>
      <c r="K198" s="21">
        <f t="shared" si="27"/>
        <v>0</v>
      </c>
      <c r="L198" s="21">
        <f t="shared" si="28"/>
        <v>0</v>
      </c>
      <c r="M198" s="21">
        <f t="shared" si="23"/>
        <v>0</v>
      </c>
      <c r="N198" s="21">
        <f t="shared" si="25"/>
        <v>0</v>
      </c>
      <c r="O198" s="21">
        <f t="shared" si="24"/>
        <v>0</v>
      </c>
    </row>
    <row r="199" spans="1:15" x14ac:dyDescent="0.25">
      <c r="A199" s="19"/>
      <c r="B199" s="20"/>
      <c r="C199" s="20"/>
      <c r="D199" s="21"/>
      <c r="E199" s="31"/>
      <c r="F199" s="21">
        <f t="shared" si="26"/>
        <v>0</v>
      </c>
      <c r="G199" s="31"/>
      <c r="H199" s="21">
        <f t="shared" si="22"/>
        <v>0</v>
      </c>
      <c r="I199" s="21">
        <f>IF(D199&lt;=Alíquotas!$B$5,D199*Alíquotas!$C$5,IF(D199&lt;=Alíquotas!$B$6,D199*Alíquotas!$C$6,D199*Alíquotas!$C$7))</f>
        <v>0</v>
      </c>
      <c r="J199" s="21">
        <f>IF(D199-I199&lt;=Alíquotas!$G$5, 0, IF(D199-I199&lt;=Alíquotas!$G$6, D199*Alíquotas!$H$6, IF(D199-I199&lt;=Alíquotas!$G$7, D199*Alíquotas!$H$7, IF(D199-I199&lt;=Alíquotas!$G$8, D199*Alíquotas!$H$8, D199*Alíquotas!$H$9))))</f>
        <v>0</v>
      </c>
      <c r="K199" s="21">
        <f t="shared" si="27"/>
        <v>0</v>
      </c>
      <c r="L199" s="21">
        <f t="shared" si="28"/>
        <v>0</v>
      </c>
      <c r="M199" s="21">
        <f t="shared" si="23"/>
        <v>0</v>
      </c>
      <c r="N199" s="21">
        <f t="shared" si="25"/>
        <v>0</v>
      </c>
      <c r="O199" s="21">
        <f t="shared" si="24"/>
        <v>0</v>
      </c>
    </row>
    <row r="200" spans="1:15" x14ac:dyDescent="0.25">
      <c r="A200" s="19"/>
      <c r="B200" s="20"/>
      <c r="C200" s="20"/>
      <c r="D200" s="21"/>
      <c r="E200" s="31"/>
      <c r="F200" s="21">
        <f t="shared" si="26"/>
        <v>0</v>
      </c>
      <c r="G200" s="31"/>
      <c r="H200" s="21">
        <f t="shared" ref="H200:H263" si="29">ATRASO($D200,$G200)</f>
        <v>0</v>
      </c>
      <c r="I200" s="21">
        <f>IF(D200&lt;=Alíquotas!$B$5,D200*Alíquotas!$C$5,IF(D200&lt;=Alíquotas!$B$6,D200*Alíquotas!$C$6,D200*Alíquotas!$C$7))</f>
        <v>0</v>
      </c>
      <c r="J200" s="21">
        <f>IF(D200-I200&lt;=Alíquotas!$G$5, 0, IF(D200-I200&lt;=Alíquotas!$G$6, D200*Alíquotas!$H$6, IF(D200-I200&lt;=Alíquotas!$G$7, D200*Alíquotas!$H$7, IF(D200-I200&lt;=Alíquotas!$G$8, D200*Alíquotas!$H$8, D200*Alíquotas!$H$9))))</f>
        <v>0</v>
      </c>
      <c r="K200" s="21">
        <f t="shared" si="27"/>
        <v>0</v>
      </c>
      <c r="L200" s="21">
        <f t="shared" si="28"/>
        <v>0</v>
      </c>
      <c r="M200" s="21">
        <f t="shared" ref="M200:M263" si="30">DECIMO_TERCEIRO($D200)</f>
        <v>0</v>
      </c>
      <c r="N200" s="21">
        <f t="shared" si="25"/>
        <v>0</v>
      </c>
      <c r="O200" s="21">
        <f t="shared" ref="O200:O263" si="31">PROP_FERIAS($D200)</f>
        <v>0</v>
      </c>
    </row>
    <row r="201" spans="1:15" x14ac:dyDescent="0.25">
      <c r="A201" s="19"/>
      <c r="B201" s="20"/>
      <c r="C201" s="20"/>
      <c r="D201" s="21"/>
      <c r="E201" s="31"/>
      <c r="F201" s="21">
        <f t="shared" si="26"/>
        <v>0</v>
      </c>
      <c r="G201" s="31"/>
      <c r="H201" s="21">
        <f t="shared" si="29"/>
        <v>0</v>
      </c>
      <c r="I201" s="21">
        <f>IF(D201&lt;=Alíquotas!$B$5,D201*Alíquotas!$C$5,IF(D201&lt;=Alíquotas!$B$6,D201*Alíquotas!$C$6,D201*Alíquotas!$C$7))</f>
        <v>0</v>
      </c>
      <c r="J201" s="21">
        <f>IF(D201-I201&lt;=Alíquotas!$G$5, 0, IF(D201-I201&lt;=Alíquotas!$G$6, D201*Alíquotas!$H$6, IF(D201-I201&lt;=Alíquotas!$G$7, D201*Alíquotas!$H$7, IF(D201-I201&lt;=Alíquotas!$G$8, D201*Alíquotas!$H$8, D201*Alíquotas!$H$9))))</f>
        <v>0</v>
      </c>
      <c r="K201" s="21">
        <f t="shared" si="27"/>
        <v>0</v>
      </c>
      <c r="L201" s="21">
        <f t="shared" si="28"/>
        <v>0</v>
      </c>
      <c r="M201" s="21">
        <f t="shared" si="30"/>
        <v>0</v>
      </c>
      <c r="N201" s="21">
        <f t="shared" si="25"/>
        <v>0</v>
      </c>
      <c r="O201" s="21">
        <f t="shared" si="31"/>
        <v>0</v>
      </c>
    </row>
    <row r="202" spans="1:15" x14ac:dyDescent="0.25">
      <c r="A202" s="19"/>
      <c r="B202" s="20"/>
      <c r="C202" s="20"/>
      <c r="D202" s="21"/>
      <c r="E202" s="31"/>
      <c r="F202" s="21">
        <f t="shared" si="26"/>
        <v>0</v>
      </c>
      <c r="G202" s="31"/>
      <c r="H202" s="21">
        <f t="shared" si="29"/>
        <v>0</v>
      </c>
      <c r="I202" s="21">
        <f>IF(D202&lt;=Alíquotas!$B$5,D202*Alíquotas!$C$5,IF(D202&lt;=Alíquotas!$B$6,D202*Alíquotas!$C$6,D202*Alíquotas!$C$7))</f>
        <v>0</v>
      </c>
      <c r="J202" s="21">
        <f>IF(D202-I202&lt;=Alíquotas!$G$5, 0, IF(D202-I202&lt;=Alíquotas!$G$6, D202*Alíquotas!$H$6, IF(D202-I202&lt;=Alíquotas!$G$7, D202*Alíquotas!$H$7, IF(D202-I202&lt;=Alíquotas!$G$8, D202*Alíquotas!$H$8, D202*Alíquotas!$H$9))))</f>
        <v>0</v>
      </c>
      <c r="K202" s="21">
        <f t="shared" si="27"/>
        <v>0</v>
      </c>
      <c r="L202" s="21">
        <f t="shared" si="28"/>
        <v>0</v>
      </c>
      <c r="M202" s="21">
        <f t="shared" si="30"/>
        <v>0</v>
      </c>
      <c r="N202" s="21">
        <f t="shared" si="25"/>
        <v>0</v>
      </c>
      <c r="O202" s="21">
        <f t="shared" si="31"/>
        <v>0</v>
      </c>
    </row>
    <row r="203" spans="1:15" x14ac:dyDescent="0.25">
      <c r="A203" s="19"/>
      <c r="B203" s="20"/>
      <c r="C203" s="20"/>
      <c r="D203" s="21"/>
      <c r="E203" s="31"/>
      <c r="F203" s="21">
        <f t="shared" si="26"/>
        <v>0</v>
      </c>
      <c r="G203" s="31"/>
      <c r="H203" s="21">
        <f t="shared" si="29"/>
        <v>0</v>
      </c>
      <c r="I203" s="21">
        <f>IF(D203&lt;=Alíquotas!$B$5,D203*Alíquotas!$C$5,IF(D203&lt;=Alíquotas!$B$6,D203*Alíquotas!$C$6,D203*Alíquotas!$C$7))</f>
        <v>0</v>
      </c>
      <c r="J203" s="21">
        <f>IF(D203-I203&lt;=Alíquotas!$G$5, 0, IF(D203-I203&lt;=Alíquotas!$G$6, D203*Alíquotas!$H$6, IF(D203-I203&lt;=Alíquotas!$G$7, D203*Alíquotas!$H$7, IF(D203-I203&lt;=Alíquotas!$G$8, D203*Alíquotas!$H$8, D203*Alíquotas!$H$9))))</f>
        <v>0</v>
      </c>
      <c r="K203" s="21">
        <f t="shared" si="27"/>
        <v>0</v>
      </c>
      <c r="L203" s="21">
        <f t="shared" si="28"/>
        <v>0</v>
      </c>
      <c r="M203" s="21">
        <f t="shared" si="30"/>
        <v>0</v>
      </c>
      <c r="N203" s="21">
        <f t="shared" si="25"/>
        <v>0</v>
      </c>
      <c r="O203" s="21">
        <f t="shared" si="31"/>
        <v>0</v>
      </c>
    </row>
    <row r="204" spans="1:15" x14ac:dyDescent="0.25">
      <c r="A204" s="19"/>
      <c r="B204" s="20"/>
      <c r="C204" s="20"/>
      <c r="D204" s="21"/>
      <c r="E204" s="31"/>
      <c r="F204" s="21">
        <f t="shared" si="26"/>
        <v>0</v>
      </c>
      <c r="G204" s="31"/>
      <c r="H204" s="21">
        <f t="shared" si="29"/>
        <v>0</v>
      </c>
      <c r="I204" s="21">
        <f>IF(D204&lt;=Alíquotas!$B$5,D204*Alíquotas!$C$5,IF(D204&lt;=Alíquotas!$B$6,D204*Alíquotas!$C$6,D204*Alíquotas!$C$7))</f>
        <v>0</v>
      </c>
      <c r="J204" s="21">
        <f>IF(D204-I204&lt;=Alíquotas!$G$5, 0, IF(D204-I204&lt;=Alíquotas!$G$6, D204*Alíquotas!$H$6, IF(D204-I204&lt;=Alíquotas!$G$7, D204*Alíquotas!$H$7, IF(D204-I204&lt;=Alíquotas!$G$8, D204*Alíquotas!$H$8, D204*Alíquotas!$H$9))))</f>
        <v>0</v>
      </c>
      <c r="K204" s="21">
        <f t="shared" si="27"/>
        <v>0</v>
      </c>
      <c r="L204" s="21">
        <f t="shared" si="28"/>
        <v>0</v>
      </c>
      <c r="M204" s="21">
        <f t="shared" si="30"/>
        <v>0</v>
      </c>
      <c r="N204" s="21">
        <f t="shared" si="25"/>
        <v>0</v>
      </c>
      <c r="O204" s="21">
        <f t="shared" si="31"/>
        <v>0</v>
      </c>
    </row>
    <row r="205" spans="1:15" x14ac:dyDescent="0.25">
      <c r="A205" s="19"/>
      <c r="B205" s="20"/>
      <c r="C205" s="20"/>
      <c r="D205" s="21"/>
      <c r="E205" s="31"/>
      <c r="F205" s="21">
        <f t="shared" si="26"/>
        <v>0</v>
      </c>
      <c r="G205" s="31"/>
      <c r="H205" s="21">
        <f t="shared" si="29"/>
        <v>0</v>
      </c>
      <c r="I205" s="21">
        <f>IF(D205&lt;=Alíquotas!$B$5,D205*Alíquotas!$C$5,IF(D205&lt;=Alíquotas!$B$6,D205*Alíquotas!$C$6,D205*Alíquotas!$C$7))</f>
        <v>0</v>
      </c>
      <c r="J205" s="21">
        <f>IF(D205-I205&lt;=Alíquotas!$G$5, 0, IF(D205-I205&lt;=Alíquotas!$G$6, D205*Alíquotas!$H$6, IF(D205-I205&lt;=Alíquotas!$G$7, D205*Alíquotas!$H$7, IF(D205-I205&lt;=Alíquotas!$G$8, D205*Alíquotas!$H$8, D205*Alíquotas!$H$9))))</f>
        <v>0</v>
      </c>
      <c r="K205" s="21">
        <f t="shared" si="27"/>
        <v>0</v>
      </c>
      <c r="L205" s="21">
        <f t="shared" si="28"/>
        <v>0</v>
      </c>
      <c r="M205" s="21">
        <f t="shared" si="30"/>
        <v>0</v>
      </c>
      <c r="N205" s="21">
        <f t="shared" si="25"/>
        <v>0</v>
      </c>
      <c r="O205" s="21">
        <f t="shared" si="31"/>
        <v>0</v>
      </c>
    </row>
    <row r="206" spans="1:15" x14ac:dyDescent="0.25">
      <c r="A206" s="19"/>
      <c r="B206" s="20"/>
      <c r="C206" s="20"/>
      <c r="D206" s="21"/>
      <c r="E206" s="31"/>
      <c r="F206" s="21">
        <f t="shared" si="26"/>
        <v>0</v>
      </c>
      <c r="G206" s="31"/>
      <c r="H206" s="21">
        <f t="shared" si="29"/>
        <v>0</v>
      </c>
      <c r="I206" s="21">
        <f>IF(D206&lt;=Alíquotas!$B$5,D206*Alíquotas!$C$5,IF(D206&lt;=Alíquotas!$B$6,D206*Alíquotas!$C$6,D206*Alíquotas!$C$7))</f>
        <v>0</v>
      </c>
      <c r="J206" s="21">
        <f>IF(D206-I206&lt;=Alíquotas!$G$5, 0, IF(D206-I206&lt;=Alíquotas!$G$6, D206*Alíquotas!$H$6, IF(D206-I206&lt;=Alíquotas!$G$7, D206*Alíquotas!$H$7, IF(D206-I206&lt;=Alíquotas!$G$8, D206*Alíquotas!$H$8, D206*Alíquotas!$H$9))))</f>
        <v>0</v>
      </c>
      <c r="K206" s="21">
        <f t="shared" si="27"/>
        <v>0</v>
      </c>
      <c r="L206" s="21">
        <f t="shared" si="28"/>
        <v>0</v>
      </c>
      <c r="M206" s="21">
        <f t="shared" si="30"/>
        <v>0</v>
      </c>
      <c r="N206" s="21">
        <f t="shared" si="25"/>
        <v>0</v>
      </c>
      <c r="O206" s="21">
        <f t="shared" si="31"/>
        <v>0</v>
      </c>
    </row>
    <row r="207" spans="1:15" x14ac:dyDescent="0.25">
      <c r="A207" s="19"/>
      <c r="B207" s="20"/>
      <c r="C207" s="20"/>
      <c r="D207" s="21"/>
      <c r="E207" s="31"/>
      <c r="F207" s="21">
        <f t="shared" si="26"/>
        <v>0</v>
      </c>
      <c r="G207" s="31"/>
      <c r="H207" s="21">
        <f t="shared" si="29"/>
        <v>0</v>
      </c>
      <c r="I207" s="21">
        <f>IF(D207&lt;=Alíquotas!$B$5,D207*Alíquotas!$C$5,IF(D207&lt;=Alíquotas!$B$6,D207*Alíquotas!$C$6,D207*Alíquotas!$C$7))</f>
        <v>0</v>
      </c>
      <c r="J207" s="21">
        <f>IF(D207-I207&lt;=Alíquotas!$G$5, 0, IF(D207-I207&lt;=Alíquotas!$G$6, D207*Alíquotas!$H$6, IF(D207-I207&lt;=Alíquotas!$G$7, D207*Alíquotas!$H$7, IF(D207-I207&lt;=Alíquotas!$G$8, D207*Alíquotas!$H$8, D207*Alíquotas!$H$9))))</f>
        <v>0</v>
      </c>
      <c r="K207" s="21">
        <f t="shared" si="27"/>
        <v>0</v>
      </c>
      <c r="L207" s="21">
        <f t="shared" si="28"/>
        <v>0</v>
      </c>
      <c r="M207" s="21">
        <f t="shared" si="30"/>
        <v>0</v>
      </c>
      <c r="N207" s="21">
        <f t="shared" si="25"/>
        <v>0</v>
      </c>
      <c r="O207" s="21">
        <f t="shared" si="31"/>
        <v>0</v>
      </c>
    </row>
    <row r="208" spans="1:15" x14ac:dyDescent="0.25">
      <c r="A208" s="19"/>
      <c r="B208" s="20"/>
      <c r="C208" s="20"/>
      <c r="D208" s="21"/>
      <c r="E208" s="31"/>
      <c r="F208" s="21">
        <f t="shared" si="26"/>
        <v>0</v>
      </c>
      <c r="G208" s="31"/>
      <c r="H208" s="21">
        <f t="shared" si="29"/>
        <v>0</v>
      </c>
      <c r="I208" s="21">
        <f>IF(D208&lt;=Alíquotas!$B$5,D208*Alíquotas!$C$5,IF(D208&lt;=Alíquotas!$B$6,D208*Alíquotas!$C$6,D208*Alíquotas!$C$7))</f>
        <v>0</v>
      </c>
      <c r="J208" s="21">
        <f>IF(D208-I208&lt;=Alíquotas!$G$5, 0, IF(D208-I208&lt;=Alíquotas!$G$6, D208*Alíquotas!$H$6, IF(D208-I208&lt;=Alíquotas!$G$7, D208*Alíquotas!$H$7, IF(D208-I208&lt;=Alíquotas!$G$8, D208*Alíquotas!$H$8, D208*Alíquotas!$H$9))))</f>
        <v>0</v>
      </c>
      <c r="K208" s="21">
        <f t="shared" si="27"/>
        <v>0</v>
      </c>
      <c r="L208" s="21">
        <f t="shared" si="28"/>
        <v>0</v>
      </c>
      <c r="M208" s="21">
        <f t="shared" si="30"/>
        <v>0</v>
      </c>
      <c r="N208" s="21">
        <f t="shared" si="25"/>
        <v>0</v>
      </c>
      <c r="O208" s="21">
        <f t="shared" si="31"/>
        <v>0</v>
      </c>
    </row>
    <row r="209" spans="1:15" x14ac:dyDescent="0.25">
      <c r="A209" s="19"/>
      <c r="B209" s="20"/>
      <c r="C209" s="20"/>
      <c r="D209" s="21"/>
      <c r="E209" s="31"/>
      <c r="F209" s="21">
        <f t="shared" si="26"/>
        <v>0</v>
      </c>
      <c r="G209" s="31"/>
      <c r="H209" s="21">
        <f t="shared" si="29"/>
        <v>0</v>
      </c>
      <c r="I209" s="21">
        <f>IF(D209&lt;=Alíquotas!$B$5,D209*Alíquotas!$C$5,IF(D209&lt;=Alíquotas!$B$6,D209*Alíquotas!$C$6,D209*Alíquotas!$C$7))</f>
        <v>0</v>
      </c>
      <c r="J209" s="21">
        <f>IF(D209-I209&lt;=Alíquotas!$G$5, 0, IF(D209-I209&lt;=Alíquotas!$G$6, D209*Alíquotas!$H$6, IF(D209-I209&lt;=Alíquotas!$G$7, D209*Alíquotas!$H$7, IF(D209-I209&lt;=Alíquotas!$G$8, D209*Alíquotas!$H$8, D209*Alíquotas!$H$9))))</f>
        <v>0</v>
      </c>
      <c r="K209" s="21">
        <f t="shared" si="27"/>
        <v>0</v>
      </c>
      <c r="L209" s="21">
        <f t="shared" si="28"/>
        <v>0</v>
      </c>
      <c r="M209" s="21">
        <f t="shared" si="30"/>
        <v>0</v>
      </c>
      <c r="N209" s="21">
        <f t="shared" si="25"/>
        <v>0</v>
      </c>
      <c r="O209" s="21">
        <f t="shared" si="31"/>
        <v>0</v>
      </c>
    </row>
    <row r="210" spans="1:15" x14ac:dyDescent="0.25">
      <c r="A210" s="19"/>
      <c r="B210" s="20"/>
      <c r="C210" s="20"/>
      <c r="D210" s="21"/>
      <c r="E210" s="31"/>
      <c r="F210" s="21">
        <f t="shared" si="26"/>
        <v>0</v>
      </c>
      <c r="G210" s="31"/>
      <c r="H210" s="21">
        <f t="shared" si="29"/>
        <v>0</v>
      </c>
      <c r="I210" s="21">
        <f>IF(D210&lt;=Alíquotas!$B$5,D210*Alíquotas!$C$5,IF(D210&lt;=Alíquotas!$B$6,D210*Alíquotas!$C$6,D210*Alíquotas!$C$7))</f>
        <v>0</v>
      </c>
      <c r="J210" s="21">
        <f>IF(D210-I210&lt;=Alíquotas!$G$5, 0, IF(D210-I210&lt;=Alíquotas!$G$6, D210*Alíquotas!$H$6, IF(D210-I210&lt;=Alíquotas!$G$7, D210*Alíquotas!$H$7, IF(D210-I210&lt;=Alíquotas!$G$8, D210*Alíquotas!$H$8, D210*Alíquotas!$H$9))))</f>
        <v>0</v>
      </c>
      <c r="K210" s="21">
        <f t="shared" si="27"/>
        <v>0</v>
      </c>
      <c r="L210" s="21">
        <f t="shared" si="28"/>
        <v>0</v>
      </c>
      <c r="M210" s="21">
        <f t="shared" si="30"/>
        <v>0</v>
      </c>
      <c r="N210" s="21">
        <f t="shared" si="25"/>
        <v>0</v>
      </c>
      <c r="O210" s="21">
        <f t="shared" si="31"/>
        <v>0</v>
      </c>
    </row>
    <row r="211" spans="1:15" x14ac:dyDescent="0.25">
      <c r="A211" s="19"/>
      <c r="B211" s="20"/>
      <c r="C211" s="20"/>
      <c r="D211" s="21"/>
      <c r="E211" s="31"/>
      <c r="F211" s="21">
        <f t="shared" si="26"/>
        <v>0</v>
      </c>
      <c r="G211" s="31"/>
      <c r="H211" s="21">
        <f t="shared" si="29"/>
        <v>0</v>
      </c>
      <c r="I211" s="21">
        <f>IF(D211&lt;=Alíquotas!$B$5,D211*Alíquotas!$C$5,IF(D211&lt;=Alíquotas!$B$6,D211*Alíquotas!$C$6,D211*Alíquotas!$C$7))</f>
        <v>0</v>
      </c>
      <c r="J211" s="21">
        <f>IF(D211-I211&lt;=Alíquotas!$G$5, 0, IF(D211-I211&lt;=Alíquotas!$G$6, D211*Alíquotas!$H$6, IF(D211-I211&lt;=Alíquotas!$G$7, D211*Alíquotas!$H$7, IF(D211-I211&lt;=Alíquotas!$G$8, D211*Alíquotas!$H$8, D211*Alíquotas!$H$9))))</f>
        <v>0</v>
      </c>
      <c r="K211" s="21">
        <f t="shared" si="27"/>
        <v>0</v>
      </c>
      <c r="L211" s="21">
        <f t="shared" si="28"/>
        <v>0</v>
      </c>
      <c r="M211" s="21">
        <f t="shared" si="30"/>
        <v>0</v>
      </c>
      <c r="N211" s="21">
        <f t="shared" si="25"/>
        <v>0</v>
      </c>
      <c r="O211" s="21">
        <f t="shared" si="31"/>
        <v>0</v>
      </c>
    </row>
    <row r="212" spans="1:15" x14ac:dyDescent="0.25">
      <c r="A212" s="19"/>
      <c r="B212" s="20"/>
      <c r="C212" s="20"/>
      <c r="D212" s="21"/>
      <c r="E212" s="31"/>
      <c r="F212" s="21">
        <f t="shared" si="26"/>
        <v>0</v>
      </c>
      <c r="G212" s="31"/>
      <c r="H212" s="21">
        <f t="shared" si="29"/>
        <v>0</v>
      </c>
      <c r="I212" s="21">
        <f>IF(D212&lt;=Alíquotas!$B$5,D212*Alíquotas!$C$5,IF(D212&lt;=Alíquotas!$B$6,D212*Alíquotas!$C$6,D212*Alíquotas!$C$7))</f>
        <v>0</v>
      </c>
      <c r="J212" s="21">
        <f>IF(D212-I212&lt;=Alíquotas!$G$5, 0, IF(D212-I212&lt;=Alíquotas!$G$6, D212*Alíquotas!$H$6, IF(D212-I212&lt;=Alíquotas!$G$7, D212*Alíquotas!$H$7, IF(D212-I212&lt;=Alíquotas!$G$8, D212*Alíquotas!$H$8, D212*Alíquotas!$H$9))))</f>
        <v>0</v>
      </c>
      <c r="K212" s="21">
        <f t="shared" si="27"/>
        <v>0</v>
      </c>
      <c r="L212" s="21">
        <f t="shared" si="28"/>
        <v>0</v>
      </c>
      <c r="M212" s="21">
        <f t="shared" si="30"/>
        <v>0</v>
      </c>
      <c r="N212" s="21">
        <f t="shared" si="25"/>
        <v>0</v>
      </c>
      <c r="O212" s="21">
        <f t="shared" si="31"/>
        <v>0</v>
      </c>
    </row>
    <row r="213" spans="1:15" x14ac:dyDescent="0.25">
      <c r="A213" s="19"/>
      <c r="B213" s="20"/>
      <c r="C213" s="20"/>
      <c r="D213" s="21"/>
      <c r="E213" s="31"/>
      <c r="F213" s="21">
        <f t="shared" si="26"/>
        <v>0</v>
      </c>
      <c r="G213" s="31"/>
      <c r="H213" s="21">
        <f t="shared" si="29"/>
        <v>0</v>
      </c>
      <c r="I213" s="21">
        <f>IF(D213&lt;=Alíquotas!$B$5,D213*Alíquotas!$C$5,IF(D213&lt;=Alíquotas!$B$6,D213*Alíquotas!$C$6,D213*Alíquotas!$C$7))</f>
        <v>0</v>
      </c>
      <c r="J213" s="21">
        <f>IF(D213-I213&lt;=Alíquotas!$G$5, 0, IF(D213-I213&lt;=Alíquotas!$G$6, D213*Alíquotas!$H$6, IF(D213-I213&lt;=Alíquotas!$G$7, D213*Alíquotas!$H$7, IF(D213-I213&lt;=Alíquotas!$G$8, D213*Alíquotas!$H$8, D213*Alíquotas!$H$9))))</f>
        <v>0</v>
      </c>
      <c r="K213" s="21">
        <f t="shared" si="27"/>
        <v>0</v>
      </c>
      <c r="L213" s="21">
        <f t="shared" si="28"/>
        <v>0</v>
      </c>
      <c r="M213" s="21">
        <f t="shared" si="30"/>
        <v>0</v>
      </c>
      <c r="N213" s="21">
        <f t="shared" si="25"/>
        <v>0</v>
      </c>
      <c r="O213" s="21">
        <f t="shared" si="31"/>
        <v>0</v>
      </c>
    </row>
    <row r="214" spans="1:15" x14ac:dyDescent="0.25">
      <c r="A214" s="19"/>
      <c r="B214" s="20"/>
      <c r="C214" s="20"/>
      <c r="D214" s="21"/>
      <c r="E214" s="31"/>
      <c r="F214" s="21">
        <f t="shared" si="26"/>
        <v>0</v>
      </c>
      <c r="G214" s="31"/>
      <c r="H214" s="21">
        <f t="shared" si="29"/>
        <v>0</v>
      </c>
      <c r="I214" s="21">
        <f>IF(D214&lt;=Alíquotas!$B$5,D214*Alíquotas!$C$5,IF(D214&lt;=Alíquotas!$B$6,D214*Alíquotas!$C$6,D214*Alíquotas!$C$7))</f>
        <v>0</v>
      </c>
      <c r="J214" s="21">
        <f>IF(D214-I214&lt;=Alíquotas!$G$5, 0, IF(D214-I214&lt;=Alíquotas!$G$6, D214*Alíquotas!$H$6, IF(D214-I214&lt;=Alíquotas!$G$7, D214*Alíquotas!$H$7, IF(D214-I214&lt;=Alíquotas!$G$8, D214*Alíquotas!$H$8, D214*Alíquotas!$H$9))))</f>
        <v>0</v>
      </c>
      <c r="K214" s="21">
        <f t="shared" si="27"/>
        <v>0</v>
      </c>
      <c r="L214" s="21">
        <f t="shared" si="28"/>
        <v>0</v>
      </c>
      <c r="M214" s="21">
        <f t="shared" si="30"/>
        <v>0</v>
      </c>
      <c r="N214" s="21">
        <f t="shared" si="25"/>
        <v>0</v>
      </c>
      <c r="O214" s="21">
        <f t="shared" si="31"/>
        <v>0</v>
      </c>
    </row>
    <row r="215" spans="1:15" x14ac:dyDescent="0.25">
      <c r="A215" s="19"/>
      <c r="B215" s="20"/>
      <c r="C215" s="20"/>
      <c r="D215" s="21"/>
      <c r="E215" s="31"/>
      <c r="F215" s="21">
        <f t="shared" si="26"/>
        <v>0</v>
      </c>
      <c r="G215" s="31"/>
      <c r="H215" s="21">
        <f t="shared" si="29"/>
        <v>0</v>
      </c>
      <c r="I215" s="21">
        <f>IF(D215&lt;=Alíquotas!$B$5,D215*Alíquotas!$C$5,IF(D215&lt;=Alíquotas!$B$6,D215*Alíquotas!$C$6,D215*Alíquotas!$C$7))</f>
        <v>0</v>
      </c>
      <c r="J215" s="21">
        <f>IF(D215-I215&lt;=Alíquotas!$G$5, 0, IF(D215-I215&lt;=Alíquotas!$G$6, D215*Alíquotas!$H$6, IF(D215-I215&lt;=Alíquotas!$G$7, D215*Alíquotas!$H$7, IF(D215-I215&lt;=Alíquotas!$G$8, D215*Alíquotas!$H$8, D215*Alíquotas!$H$9))))</f>
        <v>0</v>
      </c>
      <c r="K215" s="21">
        <f t="shared" si="27"/>
        <v>0</v>
      </c>
      <c r="L215" s="21">
        <f t="shared" si="28"/>
        <v>0</v>
      </c>
      <c r="M215" s="21">
        <f t="shared" si="30"/>
        <v>0</v>
      </c>
      <c r="N215" s="21">
        <f t="shared" ref="N215:N278" si="32">FERIAS($O215,$D215)</f>
        <v>0</v>
      </c>
      <c r="O215" s="21">
        <f t="shared" si="31"/>
        <v>0</v>
      </c>
    </row>
    <row r="216" spans="1:15" x14ac:dyDescent="0.25">
      <c r="A216" s="19"/>
      <c r="B216" s="20"/>
      <c r="C216" s="20"/>
      <c r="D216" s="21"/>
      <c r="E216" s="31"/>
      <c r="F216" s="21">
        <f t="shared" si="26"/>
        <v>0</v>
      </c>
      <c r="G216" s="31"/>
      <c r="H216" s="21">
        <f t="shared" si="29"/>
        <v>0</v>
      </c>
      <c r="I216" s="21">
        <f>IF(D216&lt;=Alíquotas!$B$5,D216*Alíquotas!$C$5,IF(D216&lt;=Alíquotas!$B$6,D216*Alíquotas!$C$6,D216*Alíquotas!$C$7))</f>
        <v>0</v>
      </c>
      <c r="J216" s="21">
        <f>IF(D216-I216&lt;=Alíquotas!$G$5, 0, IF(D216-I216&lt;=Alíquotas!$G$6, D216*Alíquotas!$H$6, IF(D216-I216&lt;=Alíquotas!$G$7, D216*Alíquotas!$H$7, IF(D216-I216&lt;=Alíquotas!$G$8, D216*Alíquotas!$H$8, D216*Alíquotas!$H$9))))</f>
        <v>0</v>
      </c>
      <c r="K216" s="21">
        <f t="shared" si="27"/>
        <v>0</v>
      </c>
      <c r="L216" s="21">
        <f t="shared" si="28"/>
        <v>0</v>
      </c>
      <c r="M216" s="21">
        <f t="shared" si="30"/>
        <v>0</v>
      </c>
      <c r="N216" s="21">
        <f t="shared" si="32"/>
        <v>0</v>
      </c>
      <c r="O216" s="21">
        <f t="shared" si="31"/>
        <v>0</v>
      </c>
    </row>
    <row r="217" spans="1:15" x14ac:dyDescent="0.25">
      <c r="A217" s="19"/>
      <c r="B217" s="20"/>
      <c r="C217" s="20"/>
      <c r="D217" s="21"/>
      <c r="E217" s="31"/>
      <c r="F217" s="21">
        <f t="shared" si="26"/>
        <v>0</v>
      </c>
      <c r="G217" s="31"/>
      <c r="H217" s="21">
        <f t="shared" si="29"/>
        <v>0</v>
      </c>
      <c r="I217" s="21">
        <f>IF(D217&lt;=Alíquotas!$B$5,D217*Alíquotas!$C$5,IF(D217&lt;=Alíquotas!$B$6,D217*Alíquotas!$C$6,D217*Alíquotas!$C$7))</f>
        <v>0</v>
      </c>
      <c r="J217" s="21">
        <f>IF(D217-I217&lt;=Alíquotas!$G$5, 0, IF(D217-I217&lt;=Alíquotas!$G$6, D217*Alíquotas!$H$6, IF(D217-I217&lt;=Alíquotas!$G$7, D217*Alíquotas!$H$7, IF(D217-I217&lt;=Alíquotas!$G$8, D217*Alíquotas!$H$8, D217*Alíquotas!$H$9))))</f>
        <v>0</v>
      </c>
      <c r="K217" s="21">
        <f t="shared" si="27"/>
        <v>0</v>
      </c>
      <c r="L217" s="21">
        <f t="shared" si="28"/>
        <v>0</v>
      </c>
      <c r="M217" s="21">
        <f t="shared" si="30"/>
        <v>0</v>
      </c>
      <c r="N217" s="21">
        <f t="shared" si="32"/>
        <v>0</v>
      </c>
      <c r="O217" s="21">
        <f t="shared" si="31"/>
        <v>0</v>
      </c>
    </row>
    <row r="218" spans="1:15" x14ac:dyDescent="0.25">
      <c r="A218" s="19"/>
      <c r="B218" s="20"/>
      <c r="C218" s="20"/>
      <c r="D218" s="21"/>
      <c r="E218" s="31"/>
      <c r="F218" s="21">
        <f t="shared" si="26"/>
        <v>0</v>
      </c>
      <c r="G218" s="31"/>
      <c r="H218" s="21">
        <f t="shared" si="29"/>
        <v>0</v>
      </c>
      <c r="I218" s="21">
        <f>IF(D218&lt;=Alíquotas!$B$5,D218*Alíquotas!$C$5,IF(D218&lt;=Alíquotas!$B$6,D218*Alíquotas!$C$6,D218*Alíquotas!$C$7))</f>
        <v>0</v>
      </c>
      <c r="J218" s="21">
        <f>IF(D218-I218&lt;=Alíquotas!$G$5, 0, IF(D218-I218&lt;=Alíquotas!$G$6, D218*Alíquotas!$H$6, IF(D218-I218&lt;=Alíquotas!$G$7, D218*Alíquotas!$H$7, IF(D218-I218&lt;=Alíquotas!$G$8, D218*Alíquotas!$H$8, D218*Alíquotas!$H$9))))</f>
        <v>0</v>
      </c>
      <c r="K218" s="21">
        <f t="shared" si="27"/>
        <v>0</v>
      </c>
      <c r="L218" s="21">
        <f t="shared" si="28"/>
        <v>0</v>
      </c>
      <c r="M218" s="21">
        <f t="shared" si="30"/>
        <v>0</v>
      </c>
      <c r="N218" s="21">
        <f t="shared" si="32"/>
        <v>0</v>
      </c>
      <c r="O218" s="21">
        <f t="shared" si="31"/>
        <v>0</v>
      </c>
    </row>
    <row r="219" spans="1:15" x14ac:dyDescent="0.25">
      <c r="A219" s="19"/>
      <c r="B219" s="20"/>
      <c r="C219" s="20"/>
      <c r="D219" s="21"/>
      <c r="E219" s="31"/>
      <c r="F219" s="21">
        <f t="shared" si="26"/>
        <v>0</v>
      </c>
      <c r="G219" s="31"/>
      <c r="H219" s="21">
        <f t="shared" si="29"/>
        <v>0</v>
      </c>
      <c r="I219" s="21">
        <f>IF(D219&lt;=Alíquotas!$B$5,D219*Alíquotas!$C$5,IF(D219&lt;=Alíquotas!$B$6,D219*Alíquotas!$C$6,D219*Alíquotas!$C$7))</f>
        <v>0</v>
      </c>
      <c r="J219" s="21">
        <f>IF(D219-I219&lt;=Alíquotas!$G$5, 0, IF(D219-I219&lt;=Alíquotas!$G$6, D219*Alíquotas!$H$6, IF(D219-I219&lt;=Alíquotas!$G$7, D219*Alíquotas!$H$7, IF(D219-I219&lt;=Alíquotas!$G$8, D219*Alíquotas!$H$8, D219*Alíquotas!$H$9))))</f>
        <v>0</v>
      </c>
      <c r="K219" s="21">
        <f t="shared" si="27"/>
        <v>0</v>
      </c>
      <c r="L219" s="21">
        <f t="shared" si="28"/>
        <v>0</v>
      </c>
      <c r="M219" s="21">
        <f t="shared" si="30"/>
        <v>0</v>
      </c>
      <c r="N219" s="21">
        <f t="shared" si="32"/>
        <v>0</v>
      </c>
      <c r="O219" s="21">
        <f t="shared" si="31"/>
        <v>0</v>
      </c>
    </row>
    <row r="220" spans="1:15" x14ac:dyDescent="0.25">
      <c r="A220" s="19"/>
      <c r="B220" s="20"/>
      <c r="C220" s="20"/>
      <c r="D220" s="21"/>
      <c r="E220" s="31"/>
      <c r="F220" s="21">
        <f t="shared" si="26"/>
        <v>0</v>
      </c>
      <c r="G220" s="31"/>
      <c r="H220" s="21">
        <f t="shared" si="29"/>
        <v>0</v>
      </c>
      <c r="I220" s="21">
        <f>IF(D220&lt;=Alíquotas!$B$5,D220*Alíquotas!$C$5,IF(D220&lt;=Alíquotas!$B$6,D220*Alíquotas!$C$6,D220*Alíquotas!$C$7))</f>
        <v>0</v>
      </c>
      <c r="J220" s="21">
        <f>IF(D220-I220&lt;=Alíquotas!$G$5, 0, IF(D220-I220&lt;=Alíquotas!$G$6, D220*Alíquotas!$H$6, IF(D220-I220&lt;=Alíquotas!$G$7, D220*Alíquotas!$H$7, IF(D220-I220&lt;=Alíquotas!$G$8, D220*Alíquotas!$H$8, D220*Alíquotas!$H$9))))</f>
        <v>0</v>
      </c>
      <c r="K220" s="21">
        <f t="shared" si="27"/>
        <v>0</v>
      </c>
      <c r="L220" s="21">
        <f t="shared" si="28"/>
        <v>0</v>
      </c>
      <c r="M220" s="21">
        <f t="shared" si="30"/>
        <v>0</v>
      </c>
      <c r="N220" s="21">
        <f t="shared" si="32"/>
        <v>0</v>
      </c>
      <c r="O220" s="21">
        <f t="shared" si="31"/>
        <v>0</v>
      </c>
    </row>
    <row r="221" spans="1:15" x14ac:dyDescent="0.25">
      <c r="A221" s="19"/>
      <c r="B221" s="20"/>
      <c r="C221" s="20"/>
      <c r="D221" s="21"/>
      <c r="E221" s="31"/>
      <c r="F221" s="21">
        <f t="shared" si="26"/>
        <v>0</v>
      </c>
      <c r="G221" s="31"/>
      <c r="H221" s="21">
        <f t="shared" si="29"/>
        <v>0</v>
      </c>
      <c r="I221" s="21">
        <f>IF(D221&lt;=Alíquotas!$B$5,D221*Alíquotas!$C$5,IF(D221&lt;=Alíquotas!$B$6,D221*Alíquotas!$C$6,D221*Alíquotas!$C$7))</f>
        <v>0</v>
      </c>
      <c r="J221" s="21">
        <f>IF(D221-I221&lt;=Alíquotas!$G$5, 0, IF(D221-I221&lt;=Alíquotas!$G$6, D221*Alíquotas!$H$6, IF(D221-I221&lt;=Alíquotas!$G$7, D221*Alíquotas!$H$7, IF(D221-I221&lt;=Alíquotas!$G$8, D221*Alíquotas!$H$8, D221*Alíquotas!$H$9))))</f>
        <v>0</v>
      </c>
      <c r="K221" s="21">
        <f t="shared" si="27"/>
        <v>0</v>
      </c>
      <c r="L221" s="21">
        <f t="shared" si="28"/>
        <v>0</v>
      </c>
      <c r="M221" s="21">
        <f t="shared" si="30"/>
        <v>0</v>
      </c>
      <c r="N221" s="21">
        <f t="shared" si="32"/>
        <v>0</v>
      </c>
      <c r="O221" s="21">
        <f t="shared" si="31"/>
        <v>0</v>
      </c>
    </row>
    <row r="222" spans="1:15" x14ac:dyDescent="0.25">
      <c r="A222" s="19"/>
      <c r="B222" s="20"/>
      <c r="C222" s="20"/>
      <c r="D222" s="21"/>
      <c r="E222" s="31"/>
      <c r="F222" s="21">
        <f t="shared" si="26"/>
        <v>0</v>
      </c>
      <c r="G222" s="31"/>
      <c r="H222" s="21">
        <f t="shared" si="29"/>
        <v>0</v>
      </c>
      <c r="I222" s="21">
        <f>IF(D222&lt;=Alíquotas!$B$5,D222*Alíquotas!$C$5,IF(D222&lt;=Alíquotas!$B$6,D222*Alíquotas!$C$6,D222*Alíquotas!$C$7))</f>
        <v>0</v>
      </c>
      <c r="J222" s="21">
        <f>IF(D222-I222&lt;=Alíquotas!$G$5, 0, IF(D222-I222&lt;=Alíquotas!$G$6, D222*Alíquotas!$H$6, IF(D222-I222&lt;=Alíquotas!$G$7, D222*Alíquotas!$H$7, IF(D222-I222&lt;=Alíquotas!$G$8, D222*Alíquotas!$H$8, D222*Alíquotas!$H$9))))</f>
        <v>0</v>
      </c>
      <c r="K222" s="21">
        <f t="shared" si="27"/>
        <v>0</v>
      </c>
      <c r="L222" s="21">
        <f t="shared" si="28"/>
        <v>0</v>
      </c>
      <c r="M222" s="21">
        <f t="shared" si="30"/>
        <v>0</v>
      </c>
      <c r="N222" s="21">
        <f t="shared" si="32"/>
        <v>0</v>
      </c>
      <c r="O222" s="21">
        <f t="shared" si="31"/>
        <v>0</v>
      </c>
    </row>
    <row r="223" spans="1:15" x14ac:dyDescent="0.25">
      <c r="A223" s="19"/>
      <c r="B223" s="20"/>
      <c r="C223" s="20"/>
      <c r="D223" s="21"/>
      <c r="E223" s="31"/>
      <c r="F223" s="21">
        <f t="shared" si="26"/>
        <v>0</v>
      </c>
      <c r="G223" s="31"/>
      <c r="H223" s="21">
        <f t="shared" si="29"/>
        <v>0</v>
      </c>
      <c r="I223" s="21">
        <f>IF(D223&lt;=Alíquotas!$B$5,D223*Alíquotas!$C$5,IF(D223&lt;=Alíquotas!$B$6,D223*Alíquotas!$C$6,D223*Alíquotas!$C$7))</f>
        <v>0</v>
      </c>
      <c r="J223" s="21">
        <f>IF(D223-I223&lt;=Alíquotas!$G$5, 0, IF(D223-I223&lt;=Alíquotas!$G$6, D223*Alíquotas!$H$6, IF(D223-I223&lt;=Alíquotas!$G$7, D223*Alíquotas!$H$7, IF(D223-I223&lt;=Alíquotas!$G$8, D223*Alíquotas!$H$8, D223*Alíquotas!$H$9))))</f>
        <v>0</v>
      </c>
      <c r="K223" s="21">
        <f t="shared" si="27"/>
        <v>0</v>
      </c>
      <c r="L223" s="21">
        <f t="shared" si="28"/>
        <v>0</v>
      </c>
      <c r="M223" s="21">
        <f t="shared" si="30"/>
        <v>0</v>
      </c>
      <c r="N223" s="21">
        <f t="shared" si="32"/>
        <v>0</v>
      </c>
      <c r="O223" s="21">
        <f t="shared" si="31"/>
        <v>0</v>
      </c>
    </row>
    <row r="224" spans="1:15" x14ac:dyDescent="0.25">
      <c r="A224" s="19"/>
      <c r="B224" s="20"/>
      <c r="C224" s="20"/>
      <c r="D224" s="21"/>
      <c r="E224" s="31"/>
      <c r="F224" s="21">
        <f t="shared" si="26"/>
        <v>0</v>
      </c>
      <c r="G224" s="31"/>
      <c r="H224" s="21">
        <f t="shared" si="29"/>
        <v>0</v>
      </c>
      <c r="I224" s="21">
        <f>IF(D224&lt;=Alíquotas!$B$5,D224*Alíquotas!$C$5,IF(D224&lt;=Alíquotas!$B$6,D224*Alíquotas!$C$6,D224*Alíquotas!$C$7))</f>
        <v>0</v>
      </c>
      <c r="J224" s="21">
        <f>IF(D224-I224&lt;=Alíquotas!$G$5, 0, IF(D224-I224&lt;=Alíquotas!$G$6, D224*Alíquotas!$H$6, IF(D224-I224&lt;=Alíquotas!$G$7, D224*Alíquotas!$H$7, IF(D224-I224&lt;=Alíquotas!$G$8, D224*Alíquotas!$H$8, D224*Alíquotas!$H$9))))</f>
        <v>0</v>
      </c>
      <c r="K224" s="21">
        <f t="shared" si="27"/>
        <v>0</v>
      </c>
      <c r="L224" s="21">
        <f t="shared" si="28"/>
        <v>0</v>
      </c>
      <c r="M224" s="21">
        <f t="shared" si="30"/>
        <v>0</v>
      </c>
      <c r="N224" s="21">
        <f t="shared" si="32"/>
        <v>0</v>
      </c>
      <c r="O224" s="21">
        <f t="shared" si="31"/>
        <v>0</v>
      </c>
    </row>
    <row r="225" spans="1:15" x14ac:dyDescent="0.25">
      <c r="A225" s="19"/>
      <c r="B225" s="20"/>
      <c r="C225" s="20"/>
      <c r="D225" s="21"/>
      <c r="E225" s="31"/>
      <c r="F225" s="21">
        <f t="shared" si="26"/>
        <v>0</v>
      </c>
      <c r="G225" s="31"/>
      <c r="H225" s="21">
        <f t="shared" si="29"/>
        <v>0</v>
      </c>
      <c r="I225" s="21">
        <f>IF(D225&lt;=Alíquotas!$B$5,D225*Alíquotas!$C$5,IF(D225&lt;=Alíquotas!$B$6,D225*Alíquotas!$C$6,D225*Alíquotas!$C$7))</f>
        <v>0</v>
      </c>
      <c r="J225" s="21">
        <f>IF(D225-I225&lt;=Alíquotas!$G$5, 0, IF(D225-I225&lt;=Alíquotas!$G$6, D225*Alíquotas!$H$6, IF(D225-I225&lt;=Alíquotas!$G$7, D225*Alíquotas!$H$7, IF(D225-I225&lt;=Alíquotas!$G$8, D225*Alíquotas!$H$8, D225*Alíquotas!$H$9))))</f>
        <v>0</v>
      </c>
      <c r="K225" s="21">
        <f t="shared" si="27"/>
        <v>0</v>
      </c>
      <c r="L225" s="21">
        <f t="shared" si="28"/>
        <v>0</v>
      </c>
      <c r="M225" s="21">
        <f t="shared" si="30"/>
        <v>0</v>
      </c>
      <c r="N225" s="21">
        <f t="shared" si="32"/>
        <v>0</v>
      </c>
      <c r="O225" s="21">
        <f t="shared" si="31"/>
        <v>0</v>
      </c>
    </row>
    <row r="226" spans="1:15" x14ac:dyDescent="0.25">
      <c r="A226" s="19"/>
      <c r="B226" s="20"/>
      <c r="C226" s="20"/>
      <c r="D226" s="21"/>
      <c r="E226" s="31"/>
      <c r="F226" s="21">
        <f t="shared" si="26"/>
        <v>0</v>
      </c>
      <c r="G226" s="31"/>
      <c r="H226" s="21">
        <f t="shared" si="29"/>
        <v>0</v>
      </c>
      <c r="I226" s="21">
        <f>IF(D226&lt;=Alíquotas!$B$5,D226*Alíquotas!$C$5,IF(D226&lt;=Alíquotas!$B$6,D226*Alíquotas!$C$6,D226*Alíquotas!$C$7))</f>
        <v>0</v>
      </c>
      <c r="J226" s="21">
        <f>IF(D226-I226&lt;=Alíquotas!$G$5, 0, IF(D226-I226&lt;=Alíquotas!$G$6, D226*Alíquotas!$H$6, IF(D226-I226&lt;=Alíquotas!$G$7, D226*Alíquotas!$H$7, IF(D226-I226&lt;=Alíquotas!$G$8, D226*Alíquotas!$H$8, D226*Alíquotas!$H$9))))</f>
        <v>0</v>
      </c>
      <c r="K226" s="21">
        <f t="shared" si="27"/>
        <v>0</v>
      </c>
      <c r="L226" s="21">
        <f t="shared" si="28"/>
        <v>0</v>
      </c>
      <c r="M226" s="21">
        <f t="shared" si="30"/>
        <v>0</v>
      </c>
      <c r="N226" s="21">
        <f t="shared" si="32"/>
        <v>0</v>
      </c>
      <c r="O226" s="21">
        <f t="shared" si="31"/>
        <v>0</v>
      </c>
    </row>
    <row r="227" spans="1:15" x14ac:dyDescent="0.25">
      <c r="A227" s="19"/>
      <c r="B227" s="20"/>
      <c r="C227" s="20"/>
      <c r="D227" s="21"/>
      <c r="E227" s="31"/>
      <c r="F227" s="21">
        <f t="shared" si="26"/>
        <v>0</v>
      </c>
      <c r="G227" s="31"/>
      <c r="H227" s="21">
        <f t="shared" si="29"/>
        <v>0</v>
      </c>
      <c r="I227" s="21">
        <f>IF(D227&lt;=Alíquotas!$B$5,D227*Alíquotas!$C$5,IF(D227&lt;=Alíquotas!$B$6,D227*Alíquotas!$C$6,D227*Alíquotas!$C$7))</f>
        <v>0</v>
      </c>
      <c r="J227" s="21">
        <f>IF(D227-I227&lt;=Alíquotas!$G$5, 0, IF(D227-I227&lt;=Alíquotas!$G$6, D227*Alíquotas!$H$6, IF(D227-I227&lt;=Alíquotas!$G$7, D227*Alíquotas!$H$7, IF(D227-I227&lt;=Alíquotas!$G$8, D227*Alíquotas!$H$8, D227*Alíquotas!$H$9))))</f>
        <v>0</v>
      </c>
      <c r="K227" s="21">
        <f t="shared" si="27"/>
        <v>0</v>
      </c>
      <c r="L227" s="21">
        <f t="shared" si="28"/>
        <v>0</v>
      </c>
      <c r="M227" s="21">
        <f t="shared" si="30"/>
        <v>0</v>
      </c>
      <c r="N227" s="21">
        <f t="shared" si="32"/>
        <v>0</v>
      </c>
      <c r="O227" s="21">
        <f t="shared" si="31"/>
        <v>0</v>
      </c>
    </row>
    <row r="228" spans="1:15" x14ac:dyDescent="0.25">
      <c r="A228" s="19"/>
      <c r="B228" s="20"/>
      <c r="C228" s="20"/>
      <c r="D228" s="21"/>
      <c r="E228" s="31"/>
      <c r="F228" s="21">
        <f t="shared" si="26"/>
        <v>0</v>
      </c>
      <c r="G228" s="31"/>
      <c r="H228" s="21">
        <f t="shared" si="29"/>
        <v>0</v>
      </c>
      <c r="I228" s="21">
        <f>IF(D228&lt;=Alíquotas!$B$5,D228*Alíquotas!$C$5,IF(D228&lt;=Alíquotas!$B$6,D228*Alíquotas!$C$6,D228*Alíquotas!$C$7))</f>
        <v>0</v>
      </c>
      <c r="J228" s="21">
        <f>IF(D228-I228&lt;=Alíquotas!$G$5, 0, IF(D228-I228&lt;=Alíquotas!$G$6, D228*Alíquotas!$H$6, IF(D228-I228&lt;=Alíquotas!$G$7, D228*Alíquotas!$H$7, IF(D228-I228&lt;=Alíquotas!$G$8, D228*Alíquotas!$H$8, D228*Alíquotas!$H$9))))</f>
        <v>0</v>
      </c>
      <c r="K228" s="21">
        <f t="shared" si="27"/>
        <v>0</v>
      </c>
      <c r="L228" s="21">
        <f t="shared" si="28"/>
        <v>0</v>
      </c>
      <c r="M228" s="21">
        <f t="shared" si="30"/>
        <v>0</v>
      </c>
      <c r="N228" s="21">
        <f t="shared" si="32"/>
        <v>0</v>
      </c>
      <c r="O228" s="21">
        <f t="shared" si="31"/>
        <v>0</v>
      </c>
    </row>
    <row r="229" spans="1:15" x14ac:dyDescent="0.25">
      <c r="A229" s="19"/>
      <c r="B229" s="20"/>
      <c r="C229" s="20"/>
      <c r="D229" s="21"/>
      <c r="E229" s="31"/>
      <c r="F229" s="21">
        <f t="shared" si="26"/>
        <v>0</v>
      </c>
      <c r="G229" s="31"/>
      <c r="H229" s="21">
        <f t="shared" si="29"/>
        <v>0</v>
      </c>
      <c r="I229" s="21">
        <f>IF(D229&lt;=Alíquotas!$B$5,D229*Alíquotas!$C$5,IF(D229&lt;=Alíquotas!$B$6,D229*Alíquotas!$C$6,D229*Alíquotas!$C$7))</f>
        <v>0</v>
      </c>
      <c r="J229" s="21">
        <f>IF(D229-I229&lt;=Alíquotas!$G$5, 0, IF(D229-I229&lt;=Alíquotas!$G$6, D229*Alíquotas!$H$6, IF(D229-I229&lt;=Alíquotas!$G$7, D229*Alíquotas!$H$7, IF(D229-I229&lt;=Alíquotas!$G$8, D229*Alíquotas!$H$8, D229*Alíquotas!$H$9))))</f>
        <v>0</v>
      </c>
      <c r="K229" s="21">
        <f t="shared" si="27"/>
        <v>0</v>
      </c>
      <c r="L229" s="21">
        <f t="shared" si="28"/>
        <v>0</v>
      </c>
      <c r="M229" s="21">
        <f t="shared" si="30"/>
        <v>0</v>
      </c>
      <c r="N229" s="21">
        <f t="shared" si="32"/>
        <v>0</v>
      </c>
      <c r="O229" s="21">
        <f t="shared" si="31"/>
        <v>0</v>
      </c>
    </row>
    <row r="230" spans="1:15" x14ac:dyDescent="0.25">
      <c r="A230" s="19"/>
      <c r="B230" s="20"/>
      <c r="C230" s="20"/>
      <c r="D230" s="21"/>
      <c r="E230" s="31"/>
      <c r="F230" s="21">
        <f t="shared" si="26"/>
        <v>0</v>
      </c>
      <c r="G230" s="31"/>
      <c r="H230" s="21">
        <f t="shared" si="29"/>
        <v>0</v>
      </c>
      <c r="I230" s="21">
        <f>IF(D230&lt;=Alíquotas!$B$5,D230*Alíquotas!$C$5,IF(D230&lt;=Alíquotas!$B$6,D230*Alíquotas!$C$6,D230*Alíquotas!$C$7))</f>
        <v>0</v>
      </c>
      <c r="J230" s="21">
        <f>IF(D230-I230&lt;=Alíquotas!$G$5, 0, IF(D230-I230&lt;=Alíquotas!$G$6, D230*Alíquotas!$H$6, IF(D230-I230&lt;=Alíquotas!$G$7, D230*Alíquotas!$H$7, IF(D230-I230&lt;=Alíquotas!$G$8, D230*Alíquotas!$H$8, D230*Alíquotas!$H$9))))</f>
        <v>0</v>
      </c>
      <c r="K230" s="21">
        <f t="shared" si="27"/>
        <v>0</v>
      </c>
      <c r="L230" s="21">
        <f t="shared" si="28"/>
        <v>0</v>
      </c>
      <c r="M230" s="21">
        <f t="shared" si="30"/>
        <v>0</v>
      </c>
      <c r="N230" s="21">
        <f t="shared" si="32"/>
        <v>0</v>
      </c>
      <c r="O230" s="21">
        <f t="shared" si="31"/>
        <v>0</v>
      </c>
    </row>
    <row r="231" spans="1:15" x14ac:dyDescent="0.25">
      <c r="A231" s="19"/>
      <c r="B231" s="20"/>
      <c r="C231" s="20"/>
      <c r="D231" s="21"/>
      <c r="E231" s="31"/>
      <c r="F231" s="21">
        <f t="shared" si="26"/>
        <v>0</v>
      </c>
      <c r="G231" s="31"/>
      <c r="H231" s="21">
        <f t="shared" si="29"/>
        <v>0</v>
      </c>
      <c r="I231" s="21">
        <f>IF(D231&lt;=Alíquotas!$B$5,D231*Alíquotas!$C$5,IF(D231&lt;=Alíquotas!$B$6,D231*Alíquotas!$C$6,D231*Alíquotas!$C$7))</f>
        <v>0</v>
      </c>
      <c r="J231" s="21">
        <f>IF(D231-I231&lt;=Alíquotas!$G$5, 0, IF(D231-I231&lt;=Alíquotas!$G$6, D231*Alíquotas!$H$6, IF(D231-I231&lt;=Alíquotas!$G$7, D231*Alíquotas!$H$7, IF(D231-I231&lt;=Alíquotas!$G$8, D231*Alíquotas!$H$8, D231*Alíquotas!$H$9))))</f>
        <v>0</v>
      </c>
      <c r="K231" s="21">
        <f t="shared" si="27"/>
        <v>0</v>
      </c>
      <c r="L231" s="21">
        <f t="shared" si="28"/>
        <v>0</v>
      </c>
      <c r="M231" s="21">
        <f t="shared" si="30"/>
        <v>0</v>
      </c>
      <c r="N231" s="21">
        <f t="shared" si="32"/>
        <v>0</v>
      </c>
      <c r="O231" s="21">
        <f t="shared" si="31"/>
        <v>0</v>
      </c>
    </row>
    <row r="232" spans="1:15" x14ac:dyDescent="0.25">
      <c r="A232" s="19"/>
      <c r="B232" s="20"/>
      <c r="C232" s="20"/>
      <c r="D232" s="21"/>
      <c r="E232" s="31"/>
      <c r="F232" s="21">
        <f t="shared" si="26"/>
        <v>0</v>
      </c>
      <c r="G232" s="31"/>
      <c r="H232" s="21">
        <f t="shared" si="29"/>
        <v>0</v>
      </c>
      <c r="I232" s="21">
        <f>IF(D232&lt;=Alíquotas!$B$5,D232*Alíquotas!$C$5,IF(D232&lt;=Alíquotas!$B$6,D232*Alíquotas!$C$6,D232*Alíquotas!$C$7))</f>
        <v>0</v>
      </c>
      <c r="J232" s="21">
        <f>IF(D232-I232&lt;=Alíquotas!$G$5, 0, IF(D232-I232&lt;=Alíquotas!$G$6, D232*Alíquotas!$H$6, IF(D232-I232&lt;=Alíquotas!$G$7, D232*Alíquotas!$H$7, IF(D232-I232&lt;=Alíquotas!$G$8, D232*Alíquotas!$H$8, D232*Alíquotas!$H$9))))</f>
        <v>0</v>
      </c>
      <c r="K232" s="21">
        <f t="shared" si="27"/>
        <v>0</v>
      </c>
      <c r="L232" s="21">
        <f t="shared" si="28"/>
        <v>0</v>
      </c>
      <c r="M232" s="21">
        <f t="shared" si="30"/>
        <v>0</v>
      </c>
      <c r="N232" s="21">
        <f t="shared" si="32"/>
        <v>0</v>
      </c>
      <c r="O232" s="21">
        <f t="shared" si="31"/>
        <v>0</v>
      </c>
    </row>
    <row r="233" spans="1:15" x14ac:dyDescent="0.25">
      <c r="A233" s="19"/>
      <c r="B233" s="20"/>
      <c r="C233" s="20"/>
      <c r="D233" s="21"/>
      <c r="E233" s="31"/>
      <c r="F233" s="21">
        <f t="shared" ref="F233:F296" si="33">HORA_EXTRA(D233,E233)</f>
        <v>0</v>
      </c>
      <c r="G233" s="31"/>
      <c r="H233" s="21">
        <f t="shared" si="29"/>
        <v>0</v>
      </c>
      <c r="I233" s="21">
        <f>IF(D233&lt;=Alíquotas!$B$5,D233*Alíquotas!$C$5,IF(D233&lt;=Alíquotas!$B$6,D233*Alíquotas!$C$6,D233*Alíquotas!$C$7))</f>
        <v>0</v>
      </c>
      <c r="J233" s="21">
        <f>IF(D233-I233&lt;=Alíquotas!$G$5, 0, IF(D233-I233&lt;=Alíquotas!$G$6, D233*Alíquotas!$H$6, IF(D233-I233&lt;=Alíquotas!$G$7, D233*Alíquotas!$H$7, IF(D233-I233&lt;=Alíquotas!$G$8, D233*Alíquotas!$H$8, D233*Alíquotas!$H$9))))</f>
        <v>0</v>
      </c>
      <c r="K233" s="21">
        <f t="shared" ref="K233:K296" si="34">SUM(H233+I233+J233)</f>
        <v>0</v>
      </c>
      <c r="L233" s="21">
        <f t="shared" ref="L233:L296" si="35">D233-K233+F233</f>
        <v>0</v>
      </c>
      <c r="M233" s="21">
        <f t="shared" si="30"/>
        <v>0</v>
      </c>
      <c r="N233" s="21">
        <f t="shared" si="32"/>
        <v>0</v>
      </c>
      <c r="O233" s="21">
        <f t="shared" si="31"/>
        <v>0</v>
      </c>
    </row>
    <row r="234" spans="1:15" x14ac:dyDescent="0.25">
      <c r="A234" s="19"/>
      <c r="B234" s="20"/>
      <c r="C234" s="20"/>
      <c r="D234" s="21"/>
      <c r="E234" s="31"/>
      <c r="F234" s="21">
        <f t="shared" si="33"/>
        <v>0</v>
      </c>
      <c r="G234" s="31"/>
      <c r="H234" s="21">
        <f t="shared" si="29"/>
        <v>0</v>
      </c>
      <c r="I234" s="21">
        <f>IF(D234&lt;=Alíquotas!$B$5,D234*Alíquotas!$C$5,IF(D234&lt;=Alíquotas!$B$6,D234*Alíquotas!$C$6,D234*Alíquotas!$C$7))</f>
        <v>0</v>
      </c>
      <c r="J234" s="21">
        <f>IF(D234-I234&lt;=Alíquotas!$G$5, 0, IF(D234-I234&lt;=Alíquotas!$G$6, D234*Alíquotas!$H$6, IF(D234-I234&lt;=Alíquotas!$G$7, D234*Alíquotas!$H$7, IF(D234-I234&lt;=Alíquotas!$G$8, D234*Alíquotas!$H$8, D234*Alíquotas!$H$9))))</f>
        <v>0</v>
      </c>
      <c r="K234" s="21">
        <f t="shared" si="34"/>
        <v>0</v>
      </c>
      <c r="L234" s="21">
        <f t="shared" si="35"/>
        <v>0</v>
      </c>
      <c r="M234" s="21">
        <f t="shared" si="30"/>
        <v>0</v>
      </c>
      <c r="N234" s="21">
        <f t="shared" si="32"/>
        <v>0</v>
      </c>
      <c r="O234" s="21">
        <f t="shared" si="31"/>
        <v>0</v>
      </c>
    </row>
    <row r="235" spans="1:15" x14ac:dyDescent="0.25">
      <c r="A235" s="19"/>
      <c r="B235" s="20"/>
      <c r="C235" s="20"/>
      <c r="D235" s="21"/>
      <c r="E235" s="31"/>
      <c r="F235" s="21">
        <f t="shared" si="33"/>
        <v>0</v>
      </c>
      <c r="G235" s="31"/>
      <c r="H235" s="21">
        <f t="shared" si="29"/>
        <v>0</v>
      </c>
      <c r="I235" s="21">
        <f>IF(D235&lt;=Alíquotas!$B$5,D235*Alíquotas!$C$5,IF(D235&lt;=Alíquotas!$B$6,D235*Alíquotas!$C$6,D235*Alíquotas!$C$7))</f>
        <v>0</v>
      </c>
      <c r="J235" s="21">
        <f>IF(D235-I235&lt;=Alíquotas!$G$5, 0, IF(D235-I235&lt;=Alíquotas!$G$6, D235*Alíquotas!$H$6, IF(D235-I235&lt;=Alíquotas!$G$7, D235*Alíquotas!$H$7, IF(D235-I235&lt;=Alíquotas!$G$8, D235*Alíquotas!$H$8, D235*Alíquotas!$H$9))))</f>
        <v>0</v>
      </c>
      <c r="K235" s="21">
        <f t="shared" si="34"/>
        <v>0</v>
      </c>
      <c r="L235" s="21">
        <f t="shared" si="35"/>
        <v>0</v>
      </c>
      <c r="M235" s="21">
        <f t="shared" si="30"/>
        <v>0</v>
      </c>
      <c r="N235" s="21">
        <f t="shared" si="32"/>
        <v>0</v>
      </c>
      <c r="O235" s="21">
        <f t="shared" si="31"/>
        <v>0</v>
      </c>
    </row>
    <row r="236" spans="1:15" x14ac:dyDescent="0.25">
      <c r="A236" s="19"/>
      <c r="B236" s="20"/>
      <c r="C236" s="20"/>
      <c r="D236" s="21"/>
      <c r="E236" s="31"/>
      <c r="F236" s="21">
        <f t="shared" si="33"/>
        <v>0</v>
      </c>
      <c r="G236" s="31"/>
      <c r="H236" s="21">
        <f t="shared" si="29"/>
        <v>0</v>
      </c>
      <c r="I236" s="21">
        <f>IF(D236&lt;=Alíquotas!$B$5,D236*Alíquotas!$C$5,IF(D236&lt;=Alíquotas!$B$6,D236*Alíquotas!$C$6,D236*Alíquotas!$C$7))</f>
        <v>0</v>
      </c>
      <c r="J236" s="21">
        <f>IF(D236-I236&lt;=Alíquotas!$G$5, 0, IF(D236-I236&lt;=Alíquotas!$G$6, D236*Alíquotas!$H$6, IF(D236-I236&lt;=Alíquotas!$G$7, D236*Alíquotas!$H$7, IF(D236-I236&lt;=Alíquotas!$G$8, D236*Alíquotas!$H$8, D236*Alíquotas!$H$9))))</f>
        <v>0</v>
      </c>
      <c r="K236" s="21">
        <f t="shared" si="34"/>
        <v>0</v>
      </c>
      <c r="L236" s="21">
        <f t="shared" si="35"/>
        <v>0</v>
      </c>
      <c r="M236" s="21">
        <f t="shared" si="30"/>
        <v>0</v>
      </c>
      <c r="N236" s="21">
        <f t="shared" si="32"/>
        <v>0</v>
      </c>
      <c r="O236" s="21">
        <f t="shared" si="31"/>
        <v>0</v>
      </c>
    </row>
    <row r="237" spans="1:15" x14ac:dyDescent="0.25">
      <c r="A237" s="19"/>
      <c r="B237" s="20"/>
      <c r="C237" s="20"/>
      <c r="D237" s="21"/>
      <c r="E237" s="31"/>
      <c r="F237" s="21">
        <f t="shared" si="33"/>
        <v>0</v>
      </c>
      <c r="G237" s="31"/>
      <c r="H237" s="21">
        <f t="shared" si="29"/>
        <v>0</v>
      </c>
      <c r="I237" s="21">
        <f>IF(D237&lt;=Alíquotas!$B$5,D237*Alíquotas!$C$5,IF(D237&lt;=Alíquotas!$B$6,D237*Alíquotas!$C$6,D237*Alíquotas!$C$7))</f>
        <v>0</v>
      </c>
      <c r="J237" s="21">
        <f>IF(D237-I237&lt;=Alíquotas!$G$5, 0, IF(D237-I237&lt;=Alíquotas!$G$6, D237*Alíquotas!$H$6, IF(D237-I237&lt;=Alíquotas!$G$7, D237*Alíquotas!$H$7, IF(D237-I237&lt;=Alíquotas!$G$8, D237*Alíquotas!$H$8, D237*Alíquotas!$H$9))))</f>
        <v>0</v>
      </c>
      <c r="K237" s="21">
        <f t="shared" si="34"/>
        <v>0</v>
      </c>
      <c r="L237" s="21">
        <f t="shared" si="35"/>
        <v>0</v>
      </c>
      <c r="M237" s="21">
        <f t="shared" si="30"/>
        <v>0</v>
      </c>
      <c r="N237" s="21">
        <f t="shared" si="32"/>
        <v>0</v>
      </c>
      <c r="O237" s="21">
        <f t="shared" si="31"/>
        <v>0</v>
      </c>
    </row>
    <row r="238" spans="1:15" x14ac:dyDescent="0.25">
      <c r="A238" s="19"/>
      <c r="B238" s="20"/>
      <c r="C238" s="20"/>
      <c r="D238" s="21"/>
      <c r="E238" s="31"/>
      <c r="F238" s="21">
        <f t="shared" si="33"/>
        <v>0</v>
      </c>
      <c r="G238" s="31"/>
      <c r="H238" s="21">
        <f t="shared" si="29"/>
        <v>0</v>
      </c>
      <c r="I238" s="21">
        <f>IF(D238&lt;=Alíquotas!$B$5,D238*Alíquotas!$C$5,IF(D238&lt;=Alíquotas!$B$6,D238*Alíquotas!$C$6,D238*Alíquotas!$C$7))</f>
        <v>0</v>
      </c>
      <c r="J238" s="21">
        <f>IF(D238-I238&lt;=Alíquotas!$G$5, 0, IF(D238-I238&lt;=Alíquotas!$G$6, D238*Alíquotas!$H$6, IF(D238-I238&lt;=Alíquotas!$G$7, D238*Alíquotas!$H$7, IF(D238-I238&lt;=Alíquotas!$G$8, D238*Alíquotas!$H$8, D238*Alíquotas!$H$9))))</f>
        <v>0</v>
      </c>
      <c r="K238" s="21">
        <f t="shared" si="34"/>
        <v>0</v>
      </c>
      <c r="L238" s="21">
        <f t="shared" si="35"/>
        <v>0</v>
      </c>
      <c r="M238" s="21">
        <f t="shared" si="30"/>
        <v>0</v>
      </c>
      <c r="N238" s="21">
        <f t="shared" si="32"/>
        <v>0</v>
      </c>
      <c r="O238" s="21">
        <f t="shared" si="31"/>
        <v>0</v>
      </c>
    </row>
    <row r="239" spans="1:15" x14ac:dyDescent="0.25">
      <c r="A239" s="19"/>
      <c r="B239" s="20"/>
      <c r="C239" s="20"/>
      <c r="D239" s="21"/>
      <c r="E239" s="31"/>
      <c r="F239" s="21">
        <f t="shared" si="33"/>
        <v>0</v>
      </c>
      <c r="G239" s="31"/>
      <c r="H239" s="21">
        <f t="shared" si="29"/>
        <v>0</v>
      </c>
      <c r="I239" s="21">
        <f>IF(D239&lt;=Alíquotas!$B$5,D239*Alíquotas!$C$5,IF(D239&lt;=Alíquotas!$B$6,D239*Alíquotas!$C$6,D239*Alíquotas!$C$7))</f>
        <v>0</v>
      </c>
      <c r="J239" s="21">
        <f>IF(D239-I239&lt;=Alíquotas!$G$5, 0, IF(D239-I239&lt;=Alíquotas!$G$6, D239*Alíquotas!$H$6, IF(D239-I239&lt;=Alíquotas!$G$7, D239*Alíquotas!$H$7, IF(D239-I239&lt;=Alíquotas!$G$8, D239*Alíquotas!$H$8, D239*Alíquotas!$H$9))))</f>
        <v>0</v>
      </c>
      <c r="K239" s="21">
        <f t="shared" si="34"/>
        <v>0</v>
      </c>
      <c r="L239" s="21">
        <f t="shared" si="35"/>
        <v>0</v>
      </c>
      <c r="M239" s="21">
        <f t="shared" si="30"/>
        <v>0</v>
      </c>
      <c r="N239" s="21">
        <f t="shared" si="32"/>
        <v>0</v>
      </c>
      <c r="O239" s="21">
        <f t="shared" si="31"/>
        <v>0</v>
      </c>
    </row>
    <row r="240" spans="1:15" x14ac:dyDescent="0.25">
      <c r="A240" s="19"/>
      <c r="B240" s="20"/>
      <c r="C240" s="20"/>
      <c r="D240" s="21"/>
      <c r="E240" s="31"/>
      <c r="F240" s="21">
        <f t="shared" si="33"/>
        <v>0</v>
      </c>
      <c r="G240" s="31"/>
      <c r="H240" s="21">
        <f t="shared" si="29"/>
        <v>0</v>
      </c>
      <c r="I240" s="21">
        <f>IF(D240&lt;=Alíquotas!$B$5,D240*Alíquotas!$C$5,IF(D240&lt;=Alíquotas!$B$6,D240*Alíquotas!$C$6,D240*Alíquotas!$C$7))</f>
        <v>0</v>
      </c>
      <c r="J240" s="21">
        <f>IF(D240-I240&lt;=Alíquotas!$G$5, 0, IF(D240-I240&lt;=Alíquotas!$G$6, D240*Alíquotas!$H$6, IF(D240-I240&lt;=Alíquotas!$G$7, D240*Alíquotas!$H$7, IF(D240-I240&lt;=Alíquotas!$G$8, D240*Alíquotas!$H$8, D240*Alíquotas!$H$9))))</f>
        <v>0</v>
      </c>
      <c r="K240" s="21">
        <f t="shared" si="34"/>
        <v>0</v>
      </c>
      <c r="L240" s="21">
        <f t="shared" si="35"/>
        <v>0</v>
      </c>
      <c r="M240" s="21">
        <f t="shared" si="30"/>
        <v>0</v>
      </c>
      <c r="N240" s="21">
        <f t="shared" si="32"/>
        <v>0</v>
      </c>
      <c r="O240" s="21">
        <f t="shared" si="31"/>
        <v>0</v>
      </c>
    </row>
    <row r="241" spans="1:15" x14ac:dyDescent="0.25">
      <c r="A241" s="19"/>
      <c r="B241" s="20"/>
      <c r="C241" s="20"/>
      <c r="D241" s="21"/>
      <c r="E241" s="31"/>
      <c r="F241" s="21">
        <f t="shared" si="33"/>
        <v>0</v>
      </c>
      <c r="G241" s="31"/>
      <c r="H241" s="21">
        <f t="shared" si="29"/>
        <v>0</v>
      </c>
      <c r="I241" s="21">
        <f>IF(D241&lt;=Alíquotas!$B$5,D241*Alíquotas!$C$5,IF(D241&lt;=Alíquotas!$B$6,D241*Alíquotas!$C$6,D241*Alíquotas!$C$7))</f>
        <v>0</v>
      </c>
      <c r="J241" s="21">
        <f>IF(D241-I241&lt;=Alíquotas!$G$5, 0, IF(D241-I241&lt;=Alíquotas!$G$6, D241*Alíquotas!$H$6, IF(D241-I241&lt;=Alíquotas!$G$7, D241*Alíquotas!$H$7, IF(D241-I241&lt;=Alíquotas!$G$8, D241*Alíquotas!$H$8, D241*Alíquotas!$H$9))))</f>
        <v>0</v>
      </c>
      <c r="K241" s="21">
        <f t="shared" si="34"/>
        <v>0</v>
      </c>
      <c r="L241" s="21">
        <f t="shared" si="35"/>
        <v>0</v>
      </c>
      <c r="M241" s="21">
        <f t="shared" si="30"/>
        <v>0</v>
      </c>
      <c r="N241" s="21">
        <f t="shared" si="32"/>
        <v>0</v>
      </c>
      <c r="O241" s="21">
        <f t="shared" si="31"/>
        <v>0</v>
      </c>
    </row>
    <row r="242" spans="1:15" x14ac:dyDescent="0.25">
      <c r="A242" s="19"/>
      <c r="B242" s="20"/>
      <c r="C242" s="20"/>
      <c r="D242" s="21"/>
      <c r="E242" s="31"/>
      <c r="F242" s="21">
        <f t="shared" si="33"/>
        <v>0</v>
      </c>
      <c r="G242" s="31"/>
      <c r="H242" s="21">
        <f t="shared" si="29"/>
        <v>0</v>
      </c>
      <c r="I242" s="21">
        <f>IF(D242&lt;=Alíquotas!$B$5,D242*Alíquotas!$C$5,IF(D242&lt;=Alíquotas!$B$6,D242*Alíquotas!$C$6,D242*Alíquotas!$C$7))</f>
        <v>0</v>
      </c>
      <c r="J242" s="21">
        <f>IF(D242-I242&lt;=Alíquotas!$G$5, 0, IF(D242-I242&lt;=Alíquotas!$G$6, D242*Alíquotas!$H$6, IF(D242-I242&lt;=Alíquotas!$G$7, D242*Alíquotas!$H$7, IF(D242-I242&lt;=Alíquotas!$G$8, D242*Alíquotas!$H$8, D242*Alíquotas!$H$9))))</f>
        <v>0</v>
      </c>
      <c r="K242" s="21">
        <f t="shared" si="34"/>
        <v>0</v>
      </c>
      <c r="L242" s="21">
        <f t="shared" si="35"/>
        <v>0</v>
      </c>
      <c r="M242" s="21">
        <f t="shared" si="30"/>
        <v>0</v>
      </c>
      <c r="N242" s="21">
        <f t="shared" si="32"/>
        <v>0</v>
      </c>
      <c r="O242" s="21">
        <f t="shared" si="31"/>
        <v>0</v>
      </c>
    </row>
    <row r="243" spans="1:15" x14ac:dyDescent="0.25">
      <c r="A243" s="19"/>
      <c r="B243" s="20"/>
      <c r="C243" s="20"/>
      <c r="D243" s="21"/>
      <c r="E243" s="31"/>
      <c r="F243" s="21">
        <f t="shared" si="33"/>
        <v>0</v>
      </c>
      <c r="G243" s="31"/>
      <c r="H243" s="21">
        <f t="shared" si="29"/>
        <v>0</v>
      </c>
      <c r="I243" s="21">
        <f>IF(D243&lt;=Alíquotas!$B$5,D243*Alíquotas!$C$5,IF(D243&lt;=Alíquotas!$B$6,D243*Alíquotas!$C$6,D243*Alíquotas!$C$7))</f>
        <v>0</v>
      </c>
      <c r="J243" s="21">
        <f>IF(D243-I243&lt;=Alíquotas!$G$5, 0, IF(D243-I243&lt;=Alíquotas!$G$6, D243*Alíquotas!$H$6, IF(D243-I243&lt;=Alíquotas!$G$7, D243*Alíquotas!$H$7, IF(D243-I243&lt;=Alíquotas!$G$8, D243*Alíquotas!$H$8, D243*Alíquotas!$H$9))))</f>
        <v>0</v>
      </c>
      <c r="K243" s="21">
        <f t="shared" si="34"/>
        <v>0</v>
      </c>
      <c r="L243" s="21">
        <f t="shared" si="35"/>
        <v>0</v>
      </c>
      <c r="M243" s="21">
        <f t="shared" si="30"/>
        <v>0</v>
      </c>
      <c r="N243" s="21">
        <f t="shared" si="32"/>
        <v>0</v>
      </c>
      <c r="O243" s="21">
        <f t="shared" si="31"/>
        <v>0</v>
      </c>
    </row>
    <row r="244" spans="1:15" x14ac:dyDescent="0.25">
      <c r="A244" s="19"/>
      <c r="B244" s="20"/>
      <c r="C244" s="20"/>
      <c r="D244" s="21"/>
      <c r="E244" s="31"/>
      <c r="F244" s="21">
        <f t="shared" si="33"/>
        <v>0</v>
      </c>
      <c r="G244" s="31"/>
      <c r="H244" s="21">
        <f t="shared" si="29"/>
        <v>0</v>
      </c>
      <c r="I244" s="21">
        <f>IF(D244&lt;=Alíquotas!$B$5,D244*Alíquotas!$C$5,IF(D244&lt;=Alíquotas!$B$6,D244*Alíquotas!$C$6,D244*Alíquotas!$C$7))</f>
        <v>0</v>
      </c>
      <c r="J244" s="21">
        <f>IF(D244-I244&lt;=Alíquotas!$G$5, 0, IF(D244-I244&lt;=Alíquotas!$G$6, D244*Alíquotas!$H$6, IF(D244-I244&lt;=Alíquotas!$G$7, D244*Alíquotas!$H$7, IF(D244-I244&lt;=Alíquotas!$G$8, D244*Alíquotas!$H$8, D244*Alíquotas!$H$9))))</f>
        <v>0</v>
      </c>
      <c r="K244" s="21">
        <f t="shared" si="34"/>
        <v>0</v>
      </c>
      <c r="L244" s="21">
        <f t="shared" si="35"/>
        <v>0</v>
      </c>
      <c r="M244" s="21">
        <f t="shared" si="30"/>
        <v>0</v>
      </c>
      <c r="N244" s="21">
        <f t="shared" si="32"/>
        <v>0</v>
      </c>
      <c r="O244" s="21">
        <f t="shared" si="31"/>
        <v>0</v>
      </c>
    </row>
    <row r="245" spans="1:15" x14ac:dyDescent="0.25">
      <c r="A245" s="19"/>
      <c r="B245" s="20"/>
      <c r="C245" s="20"/>
      <c r="D245" s="21"/>
      <c r="E245" s="31"/>
      <c r="F245" s="21">
        <f t="shared" si="33"/>
        <v>0</v>
      </c>
      <c r="G245" s="31"/>
      <c r="H245" s="21">
        <f t="shared" si="29"/>
        <v>0</v>
      </c>
      <c r="I245" s="21">
        <f>IF(D245&lt;=Alíquotas!$B$5,D245*Alíquotas!$C$5,IF(D245&lt;=Alíquotas!$B$6,D245*Alíquotas!$C$6,D245*Alíquotas!$C$7))</f>
        <v>0</v>
      </c>
      <c r="J245" s="21">
        <f>IF(D245-I245&lt;=Alíquotas!$G$5, 0, IF(D245-I245&lt;=Alíquotas!$G$6, D245*Alíquotas!$H$6, IF(D245-I245&lt;=Alíquotas!$G$7, D245*Alíquotas!$H$7, IF(D245-I245&lt;=Alíquotas!$G$8, D245*Alíquotas!$H$8, D245*Alíquotas!$H$9))))</f>
        <v>0</v>
      </c>
      <c r="K245" s="21">
        <f t="shared" si="34"/>
        <v>0</v>
      </c>
      <c r="L245" s="21">
        <f t="shared" si="35"/>
        <v>0</v>
      </c>
      <c r="M245" s="21">
        <f t="shared" si="30"/>
        <v>0</v>
      </c>
      <c r="N245" s="21">
        <f t="shared" si="32"/>
        <v>0</v>
      </c>
      <c r="O245" s="21">
        <f t="shared" si="31"/>
        <v>0</v>
      </c>
    </row>
    <row r="246" spans="1:15" x14ac:dyDescent="0.25">
      <c r="A246" s="19"/>
      <c r="B246" s="20"/>
      <c r="C246" s="20"/>
      <c r="D246" s="21"/>
      <c r="E246" s="31"/>
      <c r="F246" s="21">
        <f t="shared" si="33"/>
        <v>0</v>
      </c>
      <c r="G246" s="31"/>
      <c r="H246" s="21">
        <f t="shared" si="29"/>
        <v>0</v>
      </c>
      <c r="I246" s="21">
        <f>IF(D246&lt;=Alíquotas!$B$5,D246*Alíquotas!$C$5,IF(D246&lt;=Alíquotas!$B$6,D246*Alíquotas!$C$6,D246*Alíquotas!$C$7))</f>
        <v>0</v>
      </c>
      <c r="J246" s="21">
        <f>IF(D246-I246&lt;=Alíquotas!$G$5, 0, IF(D246-I246&lt;=Alíquotas!$G$6, D246*Alíquotas!$H$6, IF(D246-I246&lt;=Alíquotas!$G$7, D246*Alíquotas!$H$7, IF(D246-I246&lt;=Alíquotas!$G$8, D246*Alíquotas!$H$8, D246*Alíquotas!$H$9))))</f>
        <v>0</v>
      </c>
      <c r="K246" s="21">
        <f t="shared" si="34"/>
        <v>0</v>
      </c>
      <c r="L246" s="21">
        <f t="shared" si="35"/>
        <v>0</v>
      </c>
      <c r="M246" s="21">
        <f t="shared" si="30"/>
        <v>0</v>
      </c>
      <c r="N246" s="21">
        <f t="shared" si="32"/>
        <v>0</v>
      </c>
      <c r="O246" s="21">
        <f t="shared" si="31"/>
        <v>0</v>
      </c>
    </row>
    <row r="247" spans="1:15" x14ac:dyDescent="0.25">
      <c r="A247" s="19"/>
      <c r="B247" s="20"/>
      <c r="C247" s="20"/>
      <c r="D247" s="21"/>
      <c r="E247" s="31"/>
      <c r="F247" s="21">
        <f t="shared" si="33"/>
        <v>0</v>
      </c>
      <c r="G247" s="31"/>
      <c r="H247" s="21">
        <f t="shared" si="29"/>
        <v>0</v>
      </c>
      <c r="I247" s="21">
        <f>IF(D247&lt;=Alíquotas!$B$5,D247*Alíquotas!$C$5,IF(D247&lt;=Alíquotas!$B$6,D247*Alíquotas!$C$6,D247*Alíquotas!$C$7))</f>
        <v>0</v>
      </c>
      <c r="J247" s="21">
        <f>IF(D247-I247&lt;=Alíquotas!$G$5, 0, IF(D247-I247&lt;=Alíquotas!$G$6, D247*Alíquotas!$H$6, IF(D247-I247&lt;=Alíquotas!$G$7, D247*Alíquotas!$H$7, IF(D247-I247&lt;=Alíquotas!$G$8, D247*Alíquotas!$H$8, D247*Alíquotas!$H$9))))</f>
        <v>0</v>
      </c>
      <c r="K247" s="21">
        <f t="shared" si="34"/>
        <v>0</v>
      </c>
      <c r="L247" s="21">
        <f t="shared" si="35"/>
        <v>0</v>
      </c>
      <c r="M247" s="21">
        <f t="shared" si="30"/>
        <v>0</v>
      </c>
      <c r="N247" s="21">
        <f t="shared" si="32"/>
        <v>0</v>
      </c>
      <c r="O247" s="21">
        <f t="shared" si="31"/>
        <v>0</v>
      </c>
    </row>
    <row r="248" spans="1:15" x14ac:dyDescent="0.25">
      <c r="A248" s="19"/>
      <c r="B248" s="20"/>
      <c r="C248" s="20"/>
      <c r="D248" s="21"/>
      <c r="E248" s="31"/>
      <c r="F248" s="21">
        <f t="shared" si="33"/>
        <v>0</v>
      </c>
      <c r="G248" s="31"/>
      <c r="H248" s="21">
        <f t="shared" si="29"/>
        <v>0</v>
      </c>
      <c r="I248" s="21">
        <f>IF(D248&lt;=Alíquotas!$B$5,D248*Alíquotas!$C$5,IF(D248&lt;=Alíquotas!$B$6,D248*Alíquotas!$C$6,D248*Alíquotas!$C$7))</f>
        <v>0</v>
      </c>
      <c r="J248" s="21">
        <f>IF(D248-I248&lt;=Alíquotas!$G$5, 0, IF(D248-I248&lt;=Alíquotas!$G$6, D248*Alíquotas!$H$6, IF(D248-I248&lt;=Alíquotas!$G$7, D248*Alíquotas!$H$7, IF(D248-I248&lt;=Alíquotas!$G$8, D248*Alíquotas!$H$8, D248*Alíquotas!$H$9))))</f>
        <v>0</v>
      </c>
      <c r="K248" s="21">
        <f t="shared" si="34"/>
        <v>0</v>
      </c>
      <c r="L248" s="21">
        <f t="shared" si="35"/>
        <v>0</v>
      </c>
      <c r="M248" s="21">
        <f t="shared" si="30"/>
        <v>0</v>
      </c>
      <c r="N248" s="21">
        <f t="shared" si="32"/>
        <v>0</v>
      </c>
      <c r="O248" s="21">
        <f t="shared" si="31"/>
        <v>0</v>
      </c>
    </row>
    <row r="249" spans="1:15" x14ac:dyDescent="0.25">
      <c r="A249" s="19"/>
      <c r="B249" s="20"/>
      <c r="C249" s="20"/>
      <c r="D249" s="21"/>
      <c r="E249" s="31"/>
      <c r="F249" s="21">
        <f t="shared" si="33"/>
        <v>0</v>
      </c>
      <c r="G249" s="31"/>
      <c r="H249" s="21">
        <f t="shared" si="29"/>
        <v>0</v>
      </c>
      <c r="I249" s="21">
        <f>IF(D249&lt;=Alíquotas!$B$5,D249*Alíquotas!$C$5,IF(D249&lt;=Alíquotas!$B$6,D249*Alíquotas!$C$6,D249*Alíquotas!$C$7))</f>
        <v>0</v>
      </c>
      <c r="J249" s="21">
        <f>IF(D249-I249&lt;=Alíquotas!$G$5, 0, IF(D249-I249&lt;=Alíquotas!$G$6, D249*Alíquotas!$H$6, IF(D249-I249&lt;=Alíquotas!$G$7, D249*Alíquotas!$H$7, IF(D249-I249&lt;=Alíquotas!$G$8, D249*Alíquotas!$H$8, D249*Alíquotas!$H$9))))</f>
        <v>0</v>
      </c>
      <c r="K249" s="21">
        <f t="shared" si="34"/>
        <v>0</v>
      </c>
      <c r="L249" s="21">
        <f t="shared" si="35"/>
        <v>0</v>
      </c>
      <c r="M249" s="21">
        <f t="shared" si="30"/>
        <v>0</v>
      </c>
      <c r="N249" s="21">
        <f t="shared" si="32"/>
        <v>0</v>
      </c>
      <c r="O249" s="21">
        <f t="shared" si="31"/>
        <v>0</v>
      </c>
    </row>
    <row r="250" spans="1:15" x14ac:dyDescent="0.25">
      <c r="A250" s="19"/>
      <c r="B250" s="20"/>
      <c r="C250" s="20"/>
      <c r="D250" s="21"/>
      <c r="E250" s="31"/>
      <c r="F250" s="21">
        <f t="shared" si="33"/>
        <v>0</v>
      </c>
      <c r="G250" s="31"/>
      <c r="H250" s="21">
        <f t="shared" si="29"/>
        <v>0</v>
      </c>
      <c r="I250" s="21">
        <f>IF(D250&lt;=Alíquotas!$B$5,D250*Alíquotas!$C$5,IF(D250&lt;=Alíquotas!$B$6,D250*Alíquotas!$C$6,D250*Alíquotas!$C$7))</f>
        <v>0</v>
      </c>
      <c r="J250" s="21">
        <f>IF(D250-I250&lt;=Alíquotas!$G$5, 0, IF(D250-I250&lt;=Alíquotas!$G$6, D250*Alíquotas!$H$6, IF(D250-I250&lt;=Alíquotas!$G$7, D250*Alíquotas!$H$7, IF(D250-I250&lt;=Alíquotas!$G$8, D250*Alíquotas!$H$8, D250*Alíquotas!$H$9))))</f>
        <v>0</v>
      </c>
      <c r="K250" s="21">
        <f t="shared" si="34"/>
        <v>0</v>
      </c>
      <c r="L250" s="21">
        <f t="shared" si="35"/>
        <v>0</v>
      </c>
      <c r="M250" s="21">
        <f t="shared" si="30"/>
        <v>0</v>
      </c>
      <c r="N250" s="21">
        <f t="shared" si="32"/>
        <v>0</v>
      </c>
      <c r="O250" s="21">
        <f t="shared" si="31"/>
        <v>0</v>
      </c>
    </row>
    <row r="251" spans="1:15" x14ac:dyDescent="0.25">
      <c r="A251" s="19"/>
      <c r="B251" s="20"/>
      <c r="C251" s="20"/>
      <c r="D251" s="21"/>
      <c r="E251" s="31"/>
      <c r="F251" s="21">
        <f t="shared" si="33"/>
        <v>0</v>
      </c>
      <c r="G251" s="31"/>
      <c r="H251" s="21">
        <f t="shared" si="29"/>
        <v>0</v>
      </c>
      <c r="I251" s="21">
        <f>IF(D251&lt;=Alíquotas!$B$5,D251*Alíquotas!$C$5,IF(D251&lt;=Alíquotas!$B$6,D251*Alíquotas!$C$6,D251*Alíquotas!$C$7))</f>
        <v>0</v>
      </c>
      <c r="J251" s="21">
        <f>IF(D251-I251&lt;=Alíquotas!$G$5, 0, IF(D251-I251&lt;=Alíquotas!$G$6, D251*Alíquotas!$H$6, IF(D251-I251&lt;=Alíquotas!$G$7, D251*Alíquotas!$H$7, IF(D251-I251&lt;=Alíquotas!$G$8, D251*Alíquotas!$H$8, D251*Alíquotas!$H$9))))</f>
        <v>0</v>
      </c>
      <c r="K251" s="21">
        <f t="shared" si="34"/>
        <v>0</v>
      </c>
      <c r="L251" s="21">
        <f t="shared" si="35"/>
        <v>0</v>
      </c>
      <c r="M251" s="21">
        <f t="shared" si="30"/>
        <v>0</v>
      </c>
      <c r="N251" s="21">
        <f t="shared" si="32"/>
        <v>0</v>
      </c>
      <c r="O251" s="21">
        <f t="shared" si="31"/>
        <v>0</v>
      </c>
    </row>
    <row r="252" spans="1:15" x14ac:dyDescent="0.25">
      <c r="A252" s="19"/>
      <c r="B252" s="20"/>
      <c r="C252" s="20"/>
      <c r="D252" s="21"/>
      <c r="E252" s="31"/>
      <c r="F252" s="21">
        <f t="shared" si="33"/>
        <v>0</v>
      </c>
      <c r="G252" s="31"/>
      <c r="H252" s="21">
        <f t="shared" si="29"/>
        <v>0</v>
      </c>
      <c r="I252" s="21">
        <f>IF(D252&lt;=Alíquotas!$B$5,D252*Alíquotas!$C$5,IF(D252&lt;=Alíquotas!$B$6,D252*Alíquotas!$C$6,D252*Alíquotas!$C$7))</f>
        <v>0</v>
      </c>
      <c r="J252" s="21">
        <f>IF(D252-I252&lt;=Alíquotas!$G$5, 0, IF(D252-I252&lt;=Alíquotas!$G$6, D252*Alíquotas!$H$6, IF(D252-I252&lt;=Alíquotas!$G$7, D252*Alíquotas!$H$7, IF(D252-I252&lt;=Alíquotas!$G$8, D252*Alíquotas!$H$8, D252*Alíquotas!$H$9))))</f>
        <v>0</v>
      </c>
      <c r="K252" s="21">
        <f t="shared" si="34"/>
        <v>0</v>
      </c>
      <c r="L252" s="21">
        <f t="shared" si="35"/>
        <v>0</v>
      </c>
      <c r="M252" s="21">
        <f t="shared" si="30"/>
        <v>0</v>
      </c>
      <c r="N252" s="21">
        <f t="shared" si="32"/>
        <v>0</v>
      </c>
      <c r="O252" s="21">
        <f t="shared" si="31"/>
        <v>0</v>
      </c>
    </row>
    <row r="253" spans="1:15" x14ac:dyDescent="0.25">
      <c r="A253" s="19"/>
      <c r="B253" s="20"/>
      <c r="C253" s="20"/>
      <c r="D253" s="21"/>
      <c r="E253" s="31"/>
      <c r="F253" s="21">
        <f t="shared" si="33"/>
        <v>0</v>
      </c>
      <c r="G253" s="31"/>
      <c r="H253" s="21">
        <f t="shared" si="29"/>
        <v>0</v>
      </c>
      <c r="I253" s="21">
        <f>IF(D253&lt;=Alíquotas!$B$5,D253*Alíquotas!$C$5,IF(D253&lt;=Alíquotas!$B$6,D253*Alíquotas!$C$6,D253*Alíquotas!$C$7))</f>
        <v>0</v>
      </c>
      <c r="J253" s="21">
        <f>IF(D253-I253&lt;=Alíquotas!$G$5, 0, IF(D253-I253&lt;=Alíquotas!$G$6, D253*Alíquotas!$H$6, IF(D253-I253&lt;=Alíquotas!$G$7, D253*Alíquotas!$H$7, IF(D253-I253&lt;=Alíquotas!$G$8, D253*Alíquotas!$H$8, D253*Alíquotas!$H$9))))</f>
        <v>0</v>
      </c>
      <c r="K253" s="21">
        <f t="shared" si="34"/>
        <v>0</v>
      </c>
      <c r="L253" s="21">
        <f t="shared" si="35"/>
        <v>0</v>
      </c>
      <c r="M253" s="21">
        <f t="shared" si="30"/>
        <v>0</v>
      </c>
      <c r="N253" s="21">
        <f t="shared" si="32"/>
        <v>0</v>
      </c>
      <c r="O253" s="21">
        <f t="shared" si="31"/>
        <v>0</v>
      </c>
    </row>
    <row r="254" spans="1:15" x14ac:dyDescent="0.25">
      <c r="A254" s="19"/>
      <c r="B254" s="20"/>
      <c r="C254" s="20"/>
      <c r="D254" s="21"/>
      <c r="E254" s="31"/>
      <c r="F254" s="21">
        <f t="shared" si="33"/>
        <v>0</v>
      </c>
      <c r="G254" s="31"/>
      <c r="H254" s="21">
        <f t="shared" si="29"/>
        <v>0</v>
      </c>
      <c r="I254" s="21">
        <f>IF(D254&lt;=Alíquotas!$B$5,D254*Alíquotas!$C$5,IF(D254&lt;=Alíquotas!$B$6,D254*Alíquotas!$C$6,D254*Alíquotas!$C$7))</f>
        <v>0</v>
      </c>
      <c r="J254" s="21">
        <f>IF(D254-I254&lt;=Alíquotas!$G$5, 0, IF(D254-I254&lt;=Alíquotas!$G$6, D254*Alíquotas!$H$6, IF(D254-I254&lt;=Alíquotas!$G$7, D254*Alíquotas!$H$7, IF(D254-I254&lt;=Alíquotas!$G$8, D254*Alíquotas!$H$8, D254*Alíquotas!$H$9))))</f>
        <v>0</v>
      </c>
      <c r="K254" s="21">
        <f t="shared" si="34"/>
        <v>0</v>
      </c>
      <c r="L254" s="21">
        <f t="shared" si="35"/>
        <v>0</v>
      </c>
      <c r="M254" s="21">
        <f t="shared" si="30"/>
        <v>0</v>
      </c>
      <c r="N254" s="21">
        <f t="shared" si="32"/>
        <v>0</v>
      </c>
      <c r="O254" s="21">
        <f t="shared" si="31"/>
        <v>0</v>
      </c>
    </row>
    <row r="255" spans="1:15" x14ac:dyDescent="0.25">
      <c r="A255" s="19"/>
      <c r="B255" s="20"/>
      <c r="C255" s="20"/>
      <c r="D255" s="21"/>
      <c r="E255" s="31"/>
      <c r="F255" s="21">
        <f t="shared" si="33"/>
        <v>0</v>
      </c>
      <c r="G255" s="31"/>
      <c r="H255" s="21">
        <f t="shared" si="29"/>
        <v>0</v>
      </c>
      <c r="I255" s="21">
        <f>IF(D255&lt;=Alíquotas!$B$5,D255*Alíquotas!$C$5,IF(D255&lt;=Alíquotas!$B$6,D255*Alíquotas!$C$6,D255*Alíquotas!$C$7))</f>
        <v>0</v>
      </c>
      <c r="J255" s="21">
        <f>IF(D255-I255&lt;=Alíquotas!$G$5, 0, IF(D255-I255&lt;=Alíquotas!$G$6, D255*Alíquotas!$H$6, IF(D255-I255&lt;=Alíquotas!$G$7, D255*Alíquotas!$H$7, IF(D255-I255&lt;=Alíquotas!$G$8, D255*Alíquotas!$H$8, D255*Alíquotas!$H$9))))</f>
        <v>0</v>
      </c>
      <c r="K255" s="21">
        <f t="shared" si="34"/>
        <v>0</v>
      </c>
      <c r="L255" s="21">
        <f t="shared" si="35"/>
        <v>0</v>
      </c>
      <c r="M255" s="21">
        <f t="shared" si="30"/>
        <v>0</v>
      </c>
      <c r="N255" s="21">
        <f t="shared" si="32"/>
        <v>0</v>
      </c>
      <c r="O255" s="21">
        <f t="shared" si="31"/>
        <v>0</v>
      </c>
    </row>
    <row r="256" spans="1:15" x14ac:dyDescent="0.25">
      <c r="A256" s="19"/>
      <c r="B256" s="20"/>
      <c r="C256" s="20"/>
      <c r="D256" s="21"/>
      <c r="E256" s="31"/>
      <c r="F256" s="21">
        <f t="shared" si="33"/>
        <v>0</v>
      </c>
      <c r="G256" s="31"/>
      <c r="H256" s="21">
        <f t="shared" si="29"/>
        <v>0</v>
      </c>
      <c r="I256" s="21">
        <f>IF(D256&lt;=Alíquotas!$B$5,D256*Alíquotas!$C$5,IF(D256&lt;=Alíquotas!$B$6,D256*Alíquotas!$C$6,D256*Alíquotas!$C$7))</f>
        <v>0</v>
      </c>
      <c r="J256" s="21">
        <f>IF(D256-I256&lt;=Alíquotas!$G$5, 0, IF(D256-I256&lt;=Alíquotas!$G$6, D256*Alíquotas!$H$6, IF(D256-I256&lt;=Alíquotas!$G$7, D256*Alíquotas!$H$7, IF(D256-I256&lt;=Alíquotas!$G$8, D256*Alíquotas!$H$8, D256*Alíquotas!$H$9))))</f>
        <v>0</v>
      </c>
      <c r="K256" s="21">
        <f t="shared" si="34"/>
        <v>0</v>
      </c>
      <c r="L256" s="21">
        <f t="shared" si="35"/>
        <v>0</v>
      </c>
      <c r="M256" s="21">
        <f t="shared" si="30"/>
        <v>0</v>
      </c>
      <c r="N256" s="21">
        <f t="shared" si="32"/>
        <v>0</v>
      </c>
      <c r="O256" s="21">
        <f t="shared" si="31"/>
        <v>0</v>
      </c>
    </row>
    <row r="257" spans="1:15" x14ac:dyDescent="0.25">
      <c r="A257" s="19"/>
      <c r="B257" s="20"/>
      <c r="C257" s="20"/>
      <c r="D257" s="21"/>
      <c r="E257" s="31"/>
      <c r="F257" s="21">
        <f t="shared" si="33"/>
        <v>0</v>
      </c>
      <c r="G257" s="31"/>
      <c r="H257" s="21">
        <f t="shared" si="29"/>
        <v>0</v>
      </c>
      <c r="I257" s="21">
        <f>IF(D257&lt;=Alíquotas!$B$5,D257*Alíquotas!$C$5,IF(D257&lt;=Alíquotas!$B$6,D257*Alíquotas!$C$6,D257*Alíquotas!$C$7))</f>
        <v>0</v>
      </c>
      <c r="J257" s="21">
        <f>IF(D257-I257&lt;=Alíquotas!$G$5, 0, IF(D257-I257&lt;=Alíquotas!$G$6, D257*Alíquotas!$H$6, IF(D257-I257&lt;=Alíquotas!$G$7, D257*Alíquotas!$H$7, IF(D257-I257&lt;=Alíquotas!$G$8, D257*Alíquotas!$H$8, D257*Alíquotas!$H$9))))</f>
        <v>0</v>
      </c>
      <c r="K257" s="21">
        <f t="shared" si="34"/>
        <v>0</v>
      </c>
      <c r="L257" s="21">
        <f t="shared" si="35"/>
        <v>0</v>
      </c>
      <c r="M257" s="21">
        <f t="shared" si="30"/>
        <v>0</v>
      </c>
      <c r="N257" s="21">
        <f t="shared" si="32"/>
        <v>0</v>
      </c>
      <c r="O257" s="21">
        <f t="shared" si="31"/>
        <v>0</v>
      </c>
    </row>
    <row r="258" spans="1:15" x14ac:dyDescent="0.25">
      <c r="A258" s="19"/>
      <c r="B258" s="20"/>
      <c r="C258" s="20"/>
      <c r="D258" s="21"/>
      <c r="E258" s="31"/>
      <c r="F258" s="21">
        <f t="shared" si="33"/>
        <v>0</v>
      </c>
      <c r="G258" s="31"/>
      <c r="H258" s="21">
        <f t="shared" si="29"/>
        <v>0</v>
      </c>
      <c r="I258" s="21">
        <f>IF(D258&lt;=Alíquotas!$B$5,D258*Alíquotas!$C$5,IF(D258&lt;=Alíquotas!$B$6,D258*Alíquotas!$C$6,D258*Alíquotas!$C$7))</f>
        <v>0</v>
      </c>
      <c r="J258" s="21">
        <f>IF(D258-I258&lt;=Alíquotas!$G$5, 0, IF(D258-I258&lt;=Alíquotas!$G$6, D258*Alíquotas!$H$6, IF(D258-I258&lt;=Alíquotas!$G$7, D258*Alíquotas!$H$7, IF(D258-I258&lt;=Alíquotas!$G$8, D258*Alíquotas!$H$8, D258*Alíquotas!$H$9))))</f>
        <v>0</v>
      </c>
      <c r="K258" s="21">
        <f t="shared" si="34"/>
        <v>0</v>
      </c>
      <c r="L258" s="21">
        <f t="shared" si="35"/>
        <v>0</v>
      </c>
      <c r="M258" s="21">
        <f t="shared" si="30"/>
        <v>0</v>
      </c>
      <c r="N258" s="21">
        <f t="shared" si="32"/>
        <v>0</v>
      </c>
      <c r="O258" s="21">
        <f t="shared" si="31"/>
        <v>0</v>
      </c>
    </row>
    <row r="259" spans="1:15" x14ac:dyDescent="0.25">
      <c r="A259" s="19"/>
      <c r="B259" s="20"/>
      <c r="C259" s="20"/>
      <c r="D259" s="21"/>
      <c r="E259" s="31"/>
      <c r="F259" s="21">
        <f t="shared" si="33"/>
        <v>0</v>
      </c>
      <c r="G259" s="31"/>
      <c r="H259" s="21">
        <f t="shared" si="29"/>
        <v>0</v>
      </c>
      <c r="I259" s="21">
        <f>IF(D259&lt;=Alíquotas!$B$5,D259*Alíquotas!$C$5,IF(D259&lt;=Alíquotas!$B$6,D259*Alíquotas!$C$6,D259*Alíquotas!$C$7))</f>
        <v>0</v>
      </c>
      <c r="J259" s="21">
        <f>IF(D259-I259&lt;=Alíquotas!$G$5, 0, IF(D259-I259&lt;=Alíquotas!$G$6, D259*Alíquotas!$H$6, IF(D259-I259&lt;=Alíquotas!$G$7, D259*Alíquotas!$H$7, IF(D259-I259&lt;=Alíquotas!$G$8, D259*Alíquotas!$H$8, D259*Alíquotas!$H$9))))</f>
        <v>0</v>
      </c>
      <c r="K259" s="21">
        <f t="shared" si="34"/>
        <v>0</v>
      </c>
      <c r="L259" s="21">
        <f t="shared" si="35"/>
        <v>0</v>
      </c>
      <c r="M259" s="21">
        <f t="shared" si="30"/>
        <v>0</v>
      </c>
      <c r="N259" s="21">
        <f t="shared" si="32"/>
        <v>0</v>
      </c>
      <c r="O259" s="21">
        <f t="shared" si="31"/>
        <v>0</v>
      </c>
    </row>
    <row r="260" spans="1:15" x14ac:dyDescent="0.25">
      <c r="A260" s="19"/>
      <c r="B260" s="20"/>
      <c r="C260" s="20"/>
      <c r="D260" s="21"/>
      <c r="E260" s="31"/>
      <c r="F260" s="21">
        <f t="shared" si="33"/>
        <v>0</v>
      </c>
      <c r="G260" s="31"/>
      <c r="H260" s="21">
        <f t="shared" si="29"/>
        <v>0</v>
      </c>
      <c r="I260" s="21">
        <f>IF(D260&lt;=Alíquotas!$B$5,D260*Alíquotas!$C$5,IF(D260&lt;=Alíquotas!$B$6,D260*Alíquotas!$C$6,D260*Alíquotas!$C$7))</f>
        <v>0</v>
      </c>
      <c r="J260" s="21">
        <f>IF(D260-I260&lt;=Alíquotas!$G$5, 0, IF(D260-I260&lt;=Alíquotas!$G$6, D260*Alíquotas!$H$6, IF(D260-I260&lt;=Alíquotas!$G$7, D260*Alíquotas!$H$7, IF(D260-I260&lt;=Alíquotas!$G$8, D260*Alíquotas!$H$8, D260*Alíquotas!$H$9))))</f>
        <v>0</v>
      </c>
      <c r="K260" s="21">
        <f t="shared" si="34"/>
        <v>0</v>
      </c>
      <c r="L260" s="21">
        <f t="shared" si="35"/>
        <v>0</v>
      </c>
      <c r="M260" s="21">
        <f t="shared" si="30"/>
        <v>0</v>
      </c>
      <c r="N260" s="21">
        <f t="shared" si="32"/>
        <v>0</v>
      </c>
      <c r="O260" s="21">
        <f t="shared" si="31"/>
        <v>0</v>
      </c>
    </row>
    <row r="261" spans="1:15" x14ac:dyDescent="0.25">
      <c r="A261" s="19"/>
      <c r="B261" s="20"/>
      <c r="C261" s="20"/>
      <c r="D261" s="21"/>
      <c r="E261" s="31"/>
      <c r="F261" s="21">
        <f t="shared" si="33"/>
        <v>0</v>
      </c>
      <c r="G261" s="31"/>
      <c r="H261" s="21">
        <f t="shared" si="29"/>
        <v>0</v>
      </c>
      <c r="I261" s="21">
        <f>IF(D261&lt;=Alíquotas!$B$5,D261*Alíquotas!$C$5,IF(D261&lt;=Alíquotas!$B$6,D261*Alíquotas!$C$6,D261*Alíquotas!$C$7))</f>
        <v>0</v>
      </c>
      <c r="J261" s="21">
        <f>IF(D261-I261&lt;=Alíquotas!$G$5, 0, IF(D261-I261&lt;=Alíquotas!$G$6, D261*Alíquotas!$H$6, IF(D261-I261&lt;=Alíquotas!$G$7, D261*Alíquotas!$H$7, IF(D261-I261&lt;=Alíquotas!$G$8, D261*Alíquotas!$H$8, D261*Alíquotas!$H$9))))</f>
        <v>0</v>
      </c>
      <c r="K261" s="21">
        <f t="shared" si="34"/>
        <v>0</v>
      </c>
      <c r="L261" s="21">
        <f t="shared" si="35"/>
        <v>0</v>
      </c>
      <c r="M261" s="21">
        <f t="shared" si="30"/>
        <v>0</v>
      </c>
      <c r="N261" s="21">
        <f t="shared" si="32"/>
        <v>0</v>
      </c>
      <c r="O261" s="21">
        <f t="shared" si="31"/>
        <v>0</v>
      </c>
    </row>
    <row r="262" spans="1:15" x14ac:dyDescent="0.25">
      <c r="A262" s="19"/>
      <c r="B262" s="20"/>
      <c r="C262" s="20"/>
      <c r="D262" s="21"/>
      <c r="E262" s="31"/>
      <c r="F262" s="21">
        <f t="shared" si="33"/>
        <v>0</v>
      </c>
      <c r="G262" s="31"/>
      <c r="H262" s="21">
        <f t="shared" si="29"/>
        <v>0</v>
      </c>
      <c r="I262" s="21">
        <f>IF(D262&lt;=Alíquotas!$B$5,D262*Alíquotas!$C$5,IF(D262&lt;=Alíquotas!$B$6,D262*Alíquotas!$C$6,D262*Alíquotas!$C$7))</f>
        <v>0</v>
      </c>
      <c r="J262" s="21">
        <f>IF(D262-I262&lt;=Alíquotas!$G$5, 0, IF(D262-I262&lt;=Alíquotas!$G$6, D262*Alíquotas!$H$6, IF(D262-I262&lt;=Alíquotas!$G$7, D262*Alíquotas!$H$7, IF(D262-I262&lt;=Alíquotas!$G$8, D262*Alíquotas!$H$8, D262*Alíquotas!$H$9))))</f>
        <v>0</v>
      </c>
      <c r="K262" s="21">
        <f t="shared" si="34"/>
        <v>0</v>
      </c>
      <c r="L262" s="21">
        <f t="shared" si="35"/>
        <v>0</v>
      </c>
      <c r="M262" s="21">
        <f t="shared" si="30"/>
        <v>0</v>
      </c>
      <c r="N262" s="21">
        <f t="shared" si="32"/>
        <v>0</v>
      </c>
      <c r="O262" s="21">
        <f t="shared" si="31"/>
        <v>0</v>
      </c>
    </row>
    <row r="263" spans="1:15" x14ac:dyDescent="0.25">
      <c r="A263" s="19"/>
      <c r="B263" s="20"/>
      <c r="C263" s="20"/>
      <c r="D263" s="21"/>
      <c r="E263" s="31"/>
      <c r="F263" s="21">
        <f t="shared" si="33"/>
        <v>0</v>
      </c>
      <c r="G263" s="31"/>
      <c r="H263" s="21">
        <f t="shared" si="29"/>
        <v>0</v>
      </c>
      <c r="I263" s="21">
        <f>IF(D263&lt;=Alíquotas!$B$5,D263*Alíquotas!$C$5,IF(D263&lt;=Alíquotas!$B$6,D263*Alíquotas!$C$6,D263*Alíquotas!$C$7))</f>
        <v>0</v>
      </c>
      <c r="J263" s="21">
        <f>IF(D263-I263&lt;=Alíquotas!$G$5, 0, IF(D263-I263&lt;=Alíquotas!$G$6, D263*Alíquotas!$H$6, IF(D263-I263&lt;=Alíquotas!$G$7, D263*Alíquotas!$H$7, IF(D263-I263&lt;=Alíquotas!$G$8, D263*Alíquotas!$H$8, D263*Alíquotas!$H$9))))</f>
        <v>0</v>
      </c>
      <c r="K263" s="21">
        <f t="shared" si="34"/>
        <v>0</v>
      </c>
      <c r="L263" s="21">
        <f t="shared" si="35"/>
        <v>0</v>
      </c>
      <c r="M263" s="21">
        <f t="shared" si="30"/>
        <v>0</v>
      </c>
      <c r="N263" s="21">
        <f t="shared" si="32"/>
        <v>0</v>
      </c>
      <c r="O263" s="21">
        <f t="shared" si="31"/>
        <v>0</v>
      </c>
    </row>
    <row r="264" spans="1:15" x14ac:dyDescent="0.25">
      <c r="A264" s="19"/>
      <c r="B264" s="20"/>
      <c r="C264" s="20"/>
      <c r="D264" s="21"/>
      <c r="E264" s="31"/>
      <c r="F264" s="21">
        <f t="shared" si="33"/>
        <v>0</v>
      </c>
      <c r="G264" s="31"/>
      <c r="H264" s="21">
        <f t="shared" ref="H264:H327" si="36">ATRASO($D264,$G264)</f>
        <v>0</v>
      </c>
      <c r="I264" s="21">
        <f>IF(D264&lt;=Alíquotas!$B$5,D264*Alíquotas!$C$5,IF(D264&lt;=Alíquotas!$B$6,D264*Alíquotas!$C$6,D264*Alíquotas!$C$7))</f>
        <v>0</v>
      </c>
      <c r="J264" s="21">
        <f>IF(D264-I264&lt;=Alíquotas!$G$5, 0, IF(D264-I264&lt;=Alíquotas!$G$6, D264*Alíquotas!$H$6, IF(D264-I264&lt;=Alíquotas!$G$7, D264*Alíquotas!$H$7, IF(D264-I264&lt;=Alíquotas!$G$8, D264*Alíquotas!$H$8, D264*Alíquotas!$H$9))))</f>
        <v>0</v>
      </c>
      <c r="K264" s="21">
        <f t="shared" si="34"/>
        <v>0</v>
      </c>
      <c r="L264" s="21">
        <f t="shared" si="35"/>
        <v>0</v>
      </c>
      <c r="M264" s="21">
        <f t="shared" ref="M264:M327" si="37">DECIMO_TERCEIRO($D264)</f>
        <v>0</v>
      </c>
      <c r="N264" s="21">
        <f t="shared" si="32"/>
        <v>0</v>
      </c>
      <c r="O264" s="21">
        <f t="shared" ref="O264:O327" si="38">PROP_FERIAS($D264)</f>
        <v>0</v>
      </c>
    </row>
    <row r="265" spans="1:15" x14ac:dyDescent="0.25">
      <c r="A265" s="19"/>
      <c r="B265" s="20"/>
      <c r="C265" s="20"/>
      <c r="D265" s="21"/>
      <c r="E265" s="31"/>
      <c r="F265" s="21">
        <f t="shared" si="33"/>
        <v>0</v>
      </c>
      <c r="G265" s="31"/>
      <c r="H265" s="21">
        <f t="shared" si="36"/>
        <v>0</v>
      </c>
      <c r="I265" s="21">
        <f>IF(D265&lt;=Alíquotas!$B$5,D265*Alíquotas!$C$5,IF(D265&lt;=Alíquotas!$B$6,D265*Alíquotas!$C$6,D265*Alíquotas!$C$7))</f>
        <v>0</v>
      </c>
      <c r="J265" s="21">
        <f>IF(D265-I265&lt;=Alíquotas!$G$5, 0, IF(D265-I265&lt;=Alíquotas!$G$6, D265*Alíquotas!$H$6, IF(D265-I265&lt;=Alíquotas!$G$7, D265*Alíquotas!$H$7, IF(D265-I265&lt;=Alíquotas!$G$8, D265*Alíquotas!$H$8, D265*Alíquotas!$H$9))))</f>
        <v>0</v>
      </c>
      <c r="K265" s="21">
        <f t="shared" si="34"/>
        <v>0</v>
      </c>
      <c r="L265" s="21">
        <f t="shared" si="35"/>
        <v>0</v>
      </c>
      <c r="M265" s="21">
        <f t="shared" si="37"/>
        <v>0</v>
      </c>
      <c r="N265" s="21">
        <f t="shared" si="32"/>
        <v>0</v>
      </c>
      <c r="O265" s="21">
        <f t="shared" si="38"/>
        <v>0</v>
      </c>
    </row>
    <row r="266" spans="1:15" x14ac:dyDescent="0.25">
      <c r="A266" s="19"/>
      <c r="B266" s="20"/>
      <c r="C266" s="20"/>
      <c r="D266" s="21"/>
      <c r="E266" s="31"/>
      <c r="F266" s="21">
        <f t="shared" si="33"/>
        <v>0</v>
      </c>
      <c r="G266" s="31"/>
      <c r="H266" s="21">
        <f t="shared" si="36"/>
        <v>0</v>
      </c>
      <c r="I266" s="21">
        <f>IF(D266&lt;=Alíquotas!$B$5,D266*Alíquotas!$C$5,IF(D266&lt;=Alíquotas!$B$6,D266*Alíquotas!$C$6,D266*Alíquotas!$C$7))</f>
        <v>0</v>
      </c>
      <c r="J266" s="21">
        <f>IF(D266-I266&lt;=Alíquotas!$G$5, 0, IF(D266-I266&lt;=Alíquotas!$G$6, D266*Alíquotas!$H$6, IF(D266-I266&lt;=Alíquotas!$G$7, D266*Alíquotas!$H$7, IF(D266-I266&lt;=Alíquotas!$G$8, D266*Alíquotas!$H$8, D266*Alíquotas!$H$9))))</f>
        <v>0</v>
      </c>
      <c r="K266" s="21">
        <f t="shared" si="34"/>
        <v>0</v>
      </c>
      <c r="L266" s="21">
        <f t="shared" si="35"/>
        <v>0</v>
      </c>
      <c r="M266" s="21">
        <f t="shared" si="37"/>
        <v>0</v>
      </c>
      <c r="N266" s="21">
        <f t="shared" si="32"/>
        <v>0</v>
      </c>
      <c r="O266" s="21">
        <f t="shared" si="38"/>
        <v>0</v>
      </c>
    </row>
    <row r="267" spans="1:15" x14ac:dyDescent="0.25">
      <c r="A267" s="19"/>
      <c r="B267" s="20"/>
      <c r="C267" s="20"/>
      <c r="D267" s="21"/>
      <c r="E267" s="31"/>
      <c r="F267" s="21">
        <f t="shared" si="33"/>
        <v>0</v>
      </c>
      <c r="G267" s="31"/>
      <c r="H267" s="21">
        <f t="shared" si="36"/>
        <v>0</v>
      </c>
      <c r="I267" s="21">
        <f>IF(D267&lt;=Alíquotas!$B$5,D267*Alíquotas!$C$5,IF(D267&lt;=Alíquotas!$B$6,D267*Alíquotas!$C$6,D267*Alíquotas!$C$7))</f>
        <v>0</v>
      </c>
      <c r="J267" s="21">
        <f>IF(D267-I267&lt;=Alíquotas!$G$5, 0, IF(D267-I267&lt;=Alíquotas!$G$6, D267*Alíquotas!$H$6, IF(D267-I267&lt;=Alíquotas!$G$7, D267*Alíquotas!$H$7, IF(D267-I267&lt;=Alíquotas!$G$8, D267*Alíquotas!$H$8, D267*Alíquotas!$H$9))))</f>
        <v>0</v>
      </c>
      <c r="K267" s="21">
        <f t="shared" si="34"/>
        <v>0</v>
      </c>
      <c r="L267" s="21">
        <f t="shared" si="35"/>
        <v>0</v>
      </c>
      <c r="M267" s="21">
        <f t="shared" si="37"/>
        <v>0</v>
      </c>
      <c r="N267" s="21">
        <f t="shared" si="32"/>
        <v>0</v>
      </c>
      <c r="O267" s="21">
        <f t="shared" si="38"/>
        <v>0</v>
      </c>
    </row>
    <row r="268" spans="1:15" x14ac:dyDescent="0.25">
      <c r="A268" s="19"/>
      <c r="B268" s="20"/>
      <c r="C268" s="20"/>
      <c r="D268" s="21"/>
      <c r="E268" s="31"/>
      <c r="F268" s="21">
        <f t="shared" si="33"/>
        <v>0</v>
      </c>
      <c r="G268" s="31"/>
      <c r="H268" s="21">
        <f t="shared" si="36"/>
        <v>0</v>
      </c>
      <c r="I268" s="21">
        <f>IF(D268&lt;=Alíquotas!$B$5,D268*Alíquotas!$C$5,IF(D268&lt;=Alíquotas!$B$6,D268*Alíquotas!$C$6,D268*Alíquotas!$C$7))</f>
        <v>0</v>
      </c>
      <c r="J268" s="21">
        <f>IF(D268-I268&lt;=Alíquotas!$G$5, 0, IF(D268-I268&lt;=Alíquotas!$G$6, D268*Alíquotas!$H$6, IF(D268-I268&lt;=Alíquotas!$G$7, D268*Alíquotas!$H$7, IF(D268-I268&lt;=Alíquotas!$G$8, D268*Alíquotas!$H$8, D268*Alíquotas!$H$9))))</f>
        <v>0</v>
      </c>
      <c r="K268" s="21">
        <f t="shared" si="34"/>
        <v>0</v>
      </c>
      <c r="L268" s="21">
        <f t="shared" si="35"/>
        <v>0</v>
      </c>
      <c r="M268" s="21">
        <f t="shared" si="37"/>
        <v>0</v>
      </c>
      <c r="N268" s="21">
        <f t="shared" si="32"/>
        <v>0</v>
      </c>
      <c r="O268" s="21">
        <f t="shared" si="38"/>
        <v>0</v>
      </c>
    </row>
    <row r="269" spans="1:15" x14ac:dyDescent="0.25">
      <c r="A269" s="19"/>
      <c r="B269" s="20"/>
      <c r="C269" s="20"/>
      <c r="D269" s="21"/>
      <c r="E269" s="31"/>
      <c r="F269" s="21">
        <f t="shared" si="33"/>
        <v>0</v>
      </c>
      <c r="G269" s="31"/>
      <c r="H269" s="21">
        <f t="shared" si="36"/>
        <v>0</v>
      </c>
      <c r="I269" s="21">
        <f>IF(D269&lt;=Alíquotas!$B$5,D269*Alíquotas!$C$5,IF(D269&lt;=Alíquotas!$B$6,D269*Alíquotas!$C$6,D269*Alíquotas!$C$7))</f>
        <v>0</v>
      </c>
      <c r="J269" s="21">
        <f>IF(D269-I269&lt;=Alíquotas!$G$5, 0, IF(D269-I269&lt;=Alíquotas!$G$6, D269*Alíquotas!$H$6, IF(D269-I269&lt;=Alíquotas!$G$7, D269*Alíquotas!$H$7, IF(D269-I269&lt;=Alíquotas!$G$8, D269*Alíquotas!$H$8, D269*Alíquotas!$H$9))))</f>
        <v>0</v>
      </c>
      <c r="K269" s="21">
        <f t="shared" si="34"/>
        <v>0</v>
      </c>
      <c r="L269" s="21">
        <f t="shared" si="35"/>
        <v>0</v>
      </c>
      <c r="M269" s="21">
        <f t="shared" si="37"/>
        <v>0</v>
      </c>
      <c r="N269" s="21">
        <f t="shared" si="32"/>
        <v>0</v>
      </c>
      <c r="O269" s="21">
        <f t="shared" si="38"/>
        <v>0</v>
      </c>
    </row>
    <row r="270" spans="1:15" x14ac:dyDescent="0.25">
      <c r="A270" s="19"/>
      <c r="B270" s="20"/>
      <c r="C270" s="20"/>
      <c r="D270" s="21"/>
      <c r="E270" s="31"/>
      <c r="F270" s="21">
        <f t="shared" si="33"/>
        <v>0</v>
      </c>
      <c r="G270" s="31"/>
      <c r="H270" s="21">
        <f t="shared" si="36"/>
        <v>0</v>
      </c>
      <c r="I270" s="21">
        <f>IF(D270&lt;=Alíquotas!$B$5,D270*Alíquotas!$C$5,IF(D270&lt;=Alíquotas!$B$6,D270*Alíquotas!$C$6,D270*Alíquotas!$C$7))</f>
        <v>0</v>
      </c>
      <c r="J270" s="21">
        <f>IF(D270-I270&lt;=Alíquotas!$G$5, 0, IF(D270-I270&lt;=Alíquotas!$G$6, D270*Alíquotas!$H$6, IF(D270-I270&lt;=Alíquotas!$G$7, D270*Alíquotas!$H$7, IF(D270-I270&lt;=Alíquotas!$G$8, D270*Alíquotas!$H$8, D270*Alíquotas!$H$9))))</f>
        <v>0</v>
      </c>
      <c r="K270" s="21">
        <f t="shared" si="34"/>
        <v>0</v>
      </c>
      <c r="L270" s="21">
        <f t="shared" si="35"/>
        <v>0</v>
      </c>
      <c r="M270" s="21">
        <f t="shared" si="37"/>
        <v>0</v>
      </c>
      <c r="N270" s="21">
        <f t="shared" si="32"/>
        <v>0</v>
      </c>
      <c r="O270" s="21">
        <f t="shared" si="38"/>
        <v>0</v>
      </c>
    </row>
    <row r="271" spans="1:15" x14ac:dyDescent="0.25">
      <c r="A271" s="19"/>
      <c r="B271" s="20"/>
      <c r="C271" s="20"/>
      <c r="D271" s="21"/>
      <c r="E271" s="31"/>
      <c r="F271" s="21">
        <f t="shared" si="33"/>
        <v>0</v>
      </c>
      <c r="G271" s="31"/>
      <c r="H271" s="21">
        <f t="shared" si="36"/>
        <v>0</v>
      </c>
      <c r="I271" s="21">
        <f>IF(D271&lt;=Alíquotas!$B$5,D271*Alíquotas!$C$5,IF(D271&lt;=Alíquotas!$B$6,D271*Alíquotas!$C$6,D271*Alíquotas!$C$7))</f>
        <v>0</v>
      </c>
      <c r="J271" s="21">
        <f>IF(D271-I271&lt;=Alíquotas!$G$5, 0, IF(D271-I271&lt;=Alíquotas!$G$6, D271*Alíquotas!$H$6, IF(D271-I271&lt;=Alíquotas!$G$7, D271*Alíquotas!$H$7, IF(D271-I271&lt;=Alíquotas!$G$8, D271*Alíquotas!$H$8, D271*Alíquotas!$H$9))))</f>
        <v>0</v>
      </c>
      <c r="K271" s="21">
        <f t="shared" si="34"/>
        <v>0</v>
      </c>
      <c r="L271" s="21">
        <f t="shared" si="35"/>
        <v>0</v>
      </c>
      <c r="M271" s="21">
        <f t="shared" si="37"/>
        <v>0</v>
      </c>
      <c r="N271" s="21">
        <f t="shared" si="32"/>
        <v>0</v>
      </c>
      <c r="O271" s="21">
        <f t="shared" si="38"/>
        <v>0</v>
      </c>
    </row>
    <row r="272" spans="1:15" x14ac:dyDescent="0.25">
      <c r="A272" s="19"/>
      <c r="B272" s="20"/>
      <c r="C272" s="20"/>
      <c r="D272" s="21"/>
      <c r="E272" s="31"/>
      <c r="F272" s="21">
        <f t="shared" si="33"/>
        <v>0</v>
      </c>
      <c r="G272" s="31"/>
      <c r="H272" s="21">
        <f t="shared" si="36"/>
        <v>0</v>
      </c>
      <c r="I272" s="21">
        <f>IF(D272&lt;=Alíquotas!$B$5,D272*Alíquotas!$C$5,IF(D272&lt;=Alíquotas!$B$6,D272*Alíquotas!$C$6,D272*Alíquotas!$C$7))</f>
        <v>0</v>
      </c>
      <c r="J272" s="21">
        <f>IF(D272-I272&lt;=Alíquotas!$G$5, 0, IF(D272-I272&lt;=Alíquotas!$G$6, D272*Alíquotas!$H$6, IF(D272-I272&lt;=Alíquotas!$G$7, D272*Alíquotas!$H$7, IF(D272-I272&lt;=Alíquotas!$G$8, D272*Alíquotas!$H$8, D272*Alíquotas!$H$9))))</f>
        <v>0</v>
      </c>
      <c r="K272" s="21">
        <f t="shared" si="34"/>
        <v>0</v>
      </c>
      <c r="L272" s="21">
        <f t="shared" si="35"/>
        <v>0</v>
      </c>
      <c r="M272" s="21">
        <f t="shared" si="37"/>
        <v>0</v>
      </c>
      <c r="N272" s="21">
        <f t="shared" si="32"/>
        <v>0</v>
      </c>
      <c r="O272" s="21">
        <f t="shared" si="38"/>
        <v>0</v>
      </c>
    </row>
    <row r="273" spans="1:15" x14ac:dyDescent="0.25">
      <c r="A273" s="19"/>
      <c r="B273" s="20"/>
      <c r="C273" s="20"/>
      <c r="D273" s="21"/>
      <c r="E273" s="31"/>
      <c r="F273" s="21">
        <f t="shared" si="33"/>
        <v>0</v>
      </c>
      <c r="G273" s="31"/>
      <c r="H273" s="21">
        <f t="shared" si="36"/>
        <v>0</v>
      </c>
      <c r="I273" s="21">
        <f>IF(D273&lt;=Alíquotas!$B$5,D273*Alíquotas!$C$5,IF(D273&lt;=Alíquotas!$B$6,D273*Alíquotas!$C$6,D273*Alíquotas!$C$7))</f>
        <v>0</v>
      </c>
      <c r="J273" s="21">
        <f>IF(D273-I273&lt;=Alíquotas!$G$5, 0, IF(D273-I273&lt;=Alíquotas!$G$6, D273*Alíquotas!$H$6, IF(D273-I273&lt;=Alíquotas!$G$7, D273*Alíquotas!$H$7, IF(D273-I273&lt;=Alíquotas!$G$8, D273*Alíquotas!$H$8, D273*Alíquotas!$H$9))))</f>
        <v>0</v>
      </c>
      <c r="K273" s="21">
        <f t="shared" si="34"/>
        <v>0</v>
      </c>
      <c r="L273" s="21">
        <f t="shared" si="35"/>
        <v>0</v>
      </c>
      <c r="M273" s="21">
        <f t="shared" si="37"/>
        <v>0</v>
      </c>
      <c r="N273" s="21">
        <f t="shared" si="32"/>
        <v>0</v>
      </c>
      <c r="O273" s="21">
        <f t="shared" si="38"/>
        <v>0</v>
      </c>
    </row>
    <row r="274" spans="1:15" x14ac:dyDescent="0.25">
      <c r="A274" s="19"/>
      <c r="B274" s="20"/>
      <c r="C274" s="20"/>
      <c r="D274" s="21"/>
      <c r="E274" s="31"/>
      <c r="F274" s="21">
        <f t="shared" si="33"/>
        <v>0</v>
      </c>
      <c r="G274" s="31"/>
      <c r="H274" s="21">
        <f t="shared" si="36"/>
        <v>0</v>
      </c>
      <c r="I274" s="21">
        <f>IF(D274&lt;=Alíquotas!$B$5,D274*Alíquotas!$C$5,IF(D274&lt;=Alíquotas!$B$6,D274*Alíquotas!$C$6,D274*Alíquotas!$C$7))</f>
        <v>0</v>
      </c>
      <c r="J274" s="21">
        <f>IF(D274-I274&lt;=Alíquotas!$G$5, 0, IF(D274-I274&lt;=Alíquotas!$G$6, D274*Alíquotas!$H$6, IF(D274-I274&lt;=Alíquotas!$G$7, D274*Alíquotas!$H$7, IF(D274-I274&lt;=Alíquotas!$G$8, D274*Alíquotas!$H$8, D274*Alíquotas!$H$9))))</f>
        <v>0</v>
      </c>
      <c r="K274" s="21">
        <f t="shared" si="34"/>
        <v>0</v>
      </c>
      <c r="L274" s="21">
        <f t="shared" si="35"/>
        <v>0</v>
      </c>
      <c r="M274" s="21">
        <f t="shared" si="37"/>
        <v>0</v>
      </c>
      <c r="N274" s="21">
        <f t="shared" si="32"/>
        <v>0</v>
      </c>
      <c r="O274" s="21">
        <f t="shared" si="38"/>
        <v>0</v>
      </c>
    </row>
    <row r="275" spans="1:15" x14ac:dyDescent="0.25">
      <c r="A275" s="19"/>
      <c r="B275" s="20"/>
      <c r="C275" s="20"/>
      <c r="D275" s="21"/>
      <c r="E275" s="31"/>
      <c r="F275" s="21">
        <f t="shared" si="33"/>
        <v>0</v>
      </c>
      <c r="G275" s="31"/>
      <c r="H275" s="21">
        <f t="shared" si="36"/>
        <v>0</v>
      </c>
      <c r="I275" s="21">
        <f>IF(D275&lt;=Alíquotas!$B$5,D275*Alíquotas!$C$5,IF(D275&lt;=Alíquotas!$B$6,D275*Alíquotas!$C$6,D275*Alíquotas!$C$7))</f>
        <v>0</v>
      </c>
      <c r="J275" s="21">
        <f>IF(D275-I275&lt;=Alíquotas!$G$5, 0, IF(D275-I275&lt;=Alíquotas!$G$6, D275*Alíquotas!$H$6, IF(D275-I275&lt;=Alíquotas!$G$7, D275*Alíquotas!$H$7, IF(D275-I275&lt;=Alíquotas!$G$8, D275*Alíquotas!$H$8, D275*Alíquotas!$H$9))))</f>
        <v>0</v>
      </c>
      <c r="K275" s="21">
        <f t="shared" si="34"/>
        <v>0</v>
      </c>
      <c r="L275" s="21">
        <f t="shared" si="35"/>
        <v>0</v>
      </c>
      <c r="M275" s="21">
        <f t="shared" si="37"/>
        <v>0</v>
      </c>
      <c r="N275" s="21">
        <f t="shared" si="32"/>
        <v>0</v>
      </c>
      <c r="O275" s="21">
        <f t="shared" si="38"/>
        <v>0</v>
      </c>
    </row>
    <row r="276" spans="1:15" x14ac:dyDescent="0.25">
      <c r="A276" s="19"/>
      <c r="B276" s="20"/>
      <c r="C276" s="20"/>
      <c r="D276" s="21"/>
      <c r="E276" s="31"/>
      <c r="F276" s="21">
        <f t="shared" si="33"/>
        <v>0</v>
      </c>
      <c r="G276" s="31"/>
      <c r="H276" s="21">
        <f t="shared" si="36"/>
        <v>0</v>
      </c>
      <c r="I276" s="21">
        <f>IF(D276&lt;=Alíquotas!$B$5,D276*Alíquotas!$C$5,IF(D276&lt;=Alíquotas!$B$6,D276*Alíquotas!$C$6,D276*Alíquotas!$C$7))</f>
        <v>0</v>
      </c>
      <c r="J276" s="21">
        <f>IF(D276-I276&lt;=Alíquotas!$G$5, 0, IF(D276-I276&lt;=Alíquotas!$G$6, D276*Alíquotas!$H$6, IF(D276-I276&lt;=Alíquotas!$G$7, D276*Alíquotas!$H$7, IF(D276-I276&lt;=Alíquotas!$G$8, D276*Alíquotas!$H$8, D276*Alíquotas!$H$9))))</f>
        <v>0</v>
      </c>
      <c r="K276" s="21">
        <f t="shared" si="34"/>
        <v>0</v>
      </c>
      <c r="L276" s="21">
        <f t="shared" si="35"/>
        <v>0</v>
      </c>
      <c r="M276" s="21">
        <f t="shared" si="37"/>
        <v>0</v>
      </c>
      <c r="N276" s="21">
        <f t="shared" si="32"/>
        <v>0</v>
      </c>
      <c r="O276" s="21">
        <f t="shared" si="38"/>
        <v>0</v>
      </c>
    </row>
    <row r="277" spans="1:15" x14ac:dyDescent="0.25">
      <c r="A277" s="19"/>
      <c r="B277" s="20"/>
      <c r="C277" s="20"/>
      <c r="D277" s="21"/>
      <c r="E277" s="31"/>
      <c r="F277" s="21">
        <f t="shared" si="33"/>
        <v>0</v>
      </c>
      <c r="G277" s="31"/>
      <c r="H277" s="21">
        <f t="shared" si="36"/>
        <v>0</v>
      </c>
      <c r="I277" s="21">
        <f>IF(D277&lt;=Alíquotas!$B$5,D277*Alíquotas!$C$5,IF(D277&lt;=Alíquotas!$B$6,D277*Alíquotas!$C$6,D277*Alíquotas!$C$7))</f>
        <v>0</v>
      </c>
      <c r="J277" s="21">
        <f>IF(D277-I277&lt;=Alíquotas!$G$5, 0, IF(D277-I277&lt;=Alíquotas!$G$6, D277*Alíquotas!$H$6, IF(D277-I277&lt;=Alíquotas!$G$7, D277*Alíquotas!$H$7, IF(D277-I277&lt;=Alíquotas!$G$8, D277*Alíquotas!$H$8, D277*Alíquotas!$H$9))))</f>
        <v>0</v>
      </c>
      <c r="K277" s="21">
        <f t="shared" si="34"/>
        <v>0</v>
      </c>
      <c r="L277" s="21">
        <f t="shared" si="35"/>
        <v>0</v>
      </c>
      <c r="M277" s="21">
        <f t="shared" si="37"/>
        <v>0</v>
      </c>
      <c r="N277" s="21">
        <f t="shared" si="32"/>
        <v>0</v>
      </c>
      <c r="O277" s="21">
        <f t="shared" si="38"/>
        <v>0</v>
      </c>
    </row>
    <row r="278" spans="1:15" x14ac:dyDescent="0.25">
      <c r="A278" s="19"/>
      <c r="B278" s="20"/>
      <c r="C278" s="20"/>
      <c r="D278" s="21"/>
      <c r="E278" s="31"/>
      <c r="F278" s="21">
        <f t="shared" si="33"/>
        <v>0</v>
      </c>
      <c r="G278" s="31"/>
      <c r="H278" s="21">
        <f t="shared" si="36"/>
        <v>0</v>
      </c>
      <c r="I278" s="21">
        <f>IF(D278&lt;=Alíquotas!$B$5,D278*Alíquotas!$C$5,IF(D278&lt;=Alíquotas!$B$6,D278*Alíquotas!$C$6,D278*Alíquotas!$C$7))</f>
        <v>0</v>
      </c>
      <c r="J278" s="21">
        <f>IF(D278-I278&lt;=Alíquotas!$G$5, 0, IF(D278-I278&lt;=Alíquotas!$G$6, D278*Alíquotas!$H$6, IF(D278-I278&lt;=Alíquotas!$G$7, D278*Alíquotas!$H$7, IF(D278-I278&lt;=Alíquotas!$G$8, D278*Alíquotas!$H$8, D278*Alíquotas!$H$9))))</f>
        <v>0</v>
      </c>
      <c r="K278" s="21">
        <f t="shared" si="34"/>
        <v>0</v>
      </c>
      <c r="L278" s="21">
        <f t="shared" si="35"/>
        <v>0</v>
      </c>
      <c r="M278" s="21">
        <f t="shared" si="37"/>
        <v>0</v>
      </c>
      <c r="N278" s="21">
        <f t="shared" si="32"/>
        <v>0</v>
      </c>
      <c r="O278" s="21">
        <f t="shared" si="38"/>
        <v>0</v>
      </c>
    </row>
    <row r="279" spans="1:15" x14ac:dyDescent="0.25">
      <c r="A279" s="19"/>
      <c r="B279" s="20"/>
      <c r="C279" s="20"/>
      <c r="D279" s="21"/>
      <c r="E279" s="31"/>
      <c r="F279" s="21">
        <f t="shared" si="33"/>
        <v>0</v>
      </c>
      <c r="G279" s="31"/>
      <c r="H279" s="21">
        <f t="shared" si="36"/>
        <v>0</v>
      </c>
      <c r="I279" s="21">
        <f>IF(D279&lt;=Alíquotas!$B$5,D279*Alíquotas!$C$5,IF(D279&lt;=Alíquotas!$B$6,D279*Alíquotas!$C$6,D279*Alíquotas!$C$7))</f>
        <v>0</v>
      </c>
      <c r="J279" s="21">
        <f>IF(D279-I279&lt;=Alíquotas!$G$5, 0, IF(D279-I279&lt;=Alíquotas!$G$6, D279*Alíquotas!$H$6, IF(D279-I279&lt;=Alíquotas!$G$7, D279*Alíquotas!$H$7, IF(D279-I279&lt;=Alíquotas!$G$8, D279*Alíquotas!$H$8, D279*Alíquotas!$H$9))))</f>
        <v>0</v>
      </c>
      <c r="K279" s="21">
        <f t="shared" si="34"/>
        <v>0</v>
      </c>
      <c r="L279" s="21">
        <f t="shared" si="35"/>
        <v>0</v>
      </c>
      <c r="M279" s="21">
        <f t="shared" si="37"/>
        <v>0</v>
      </c>
      <c r="N279" s="21">
        <f t="shared" ref="N279:N342" si="39">FERIAS($O279,$D279)</f>
        <v>0</v>
      </c>
      <c r="O279" s="21">
        <f t="shared" si="38"/>
        <v>0</v>
      </c>
    </row>
    <row r="280" spans="1:15" x14ac:dyDescent="0.25">
      <c r="A280" s="19"/>
      <c r="B280" s="20"/>
      <c r="C280" s="20"/>
      <c r="D280" s="21"/>
      <c r="E280" s="31"/>
      <c r="F280" s="21">
        <f t="shared" si="33"/>
        <v>0</v>
      </c>
      <c r="G280" s="31"/>
      <c r="H280" s="21">
        <f t="shared" si="36"/>
        <v>0</v>
      </c>
      <c r="I280" s="21">
        <f>IF(D280&lt;=Alíquotas!$B$5,D280*Alíquotas!$C$5,IF(D280&lt;=Alíquotas!$B$6,D280*Alíquotas!$C$6,D280*Alíquotas!$C$7))</f>
        <v>0</v>
      </c>
      <c r="J280" s="21">
        <f>IF(D280-I280&lt;=Alíquotas!$G$5, 0, IF(D280-I280&lt;=Alíquotas!$G$6, D280*Alíquotas!$H$6, IF(D280-I280&lt;=Alíquotas!$G$7, D280*Alíquotas!$H$7, IF(D280-I280&lt;=Alíquotas!$G$8, D280*Alíquotas!$H$8, D280*Alíquotas!$H$9))))</f>
        <v>0</v>
      </c>
      <c r="K280" s="21">
        <f t="shared" si="34"/>
        <v>0</v>
      </c>
      <c r="L280" s="21">
        <f t="shared" si="35"/>
        <v>0</v>
      </c>
      <c r="M280" s="21">
        <f t="shared" si="37"/>
        <v>0</v>
      </c>
      <c r="N280" s="21">
        <f t="shared" si="39"/>
        <v>0</v>
      </c>
      <c r="O280" s="21">
        <f t="shared" si="38"/>
        <v>0</v>
      </c>
    </row>
    <row r="281" spans="1:15" x14ac:dyDescent="0.25">
      <c r="A281" s="19"/>
      <c r="B281" s="20"/>
      <c r="C281" s="20"/>
      <c r="D281" s="21"/>
      <c r="E281" s="31"/>
      <c r="F281" s="21">
        <f t="shared" si="33"/>
        <v>0</v>
      </c>
      <c r="G281" s="31"/>
      <c r="H281" s="21">
        <f t="shared" si="36"/>
        <v>0</v>
      </c>
      <c r="I281" s="21">
        <f>IF(D281&lt;=Alíquotas!$B$5,D281*Alíquotas!$C$5,IF(D281&lt;=Alíquotas!$B$6,D281*Alíquotas!$C$6,D281*Alíquotas!$C$7))</f>
        <v>0</v>
      </c>
      <c r="J281" s="21">
        <f>IF(D281-I281&lt;=Alíquotas!$G$5, 0, IF(D281-I281&lt;=Alíquotas!$G$6, D281*Alíquotas!$H$6, IF(D281-I281&lt;=Alíquotas!$G$7, D281*Alíquotas!$H$7, IF(D281-I281&lt;=Alíquotas!$G$8, D281*Alíquotas!$H$8, D281*Alíquotas!$H$9))))</f>
        <v>0</v>
      </c>
      <c r="K281" s="21">
        <f t="shared" si="34"/>
        <v>0</v>
      </c>
      <c r="L281" s="21">
        <f t="shared" si="35"/>
        <v>0</v>
      </c>
      <c r="M281" s="21">
        <f t="shared" si="37"/>
        <v>0</v>
      </c>
      <c r="N281" s="21">
        <f t="shared" si="39"/>
        <v>0</v>
      </c>
      <c r="O281" s="21">
        <f t="shared" si="38"/>
        <v>0</v>
      </c>
    </row>
    <row r="282" spans="1:15" x14ac:dyDescent="0.25">
      <c r="A282" s="19"/>
      <c r="B282" s="20"/>
      <c r="C282" s="20"/>
      <c r="D282" s="21"/>
      <c r="E282" s="31"/>
      <c r="F282" s="21">
        <f t="shared" si="33"/>
        <v>0</v>
      </c>
      <c r="G282" s="31"/>
      <c r="H282" s="21">
        <f t="shared" si="36"/>
        <v>0</v>
      </c>
      <c r="I282" s="21">
        <f>IF(D282&lt;=Alíquotas!$B$5,D282*Alíquotas!$C$5,IF(D282&lt;=Alíquotas!$B$6,D282*Alíquotas!$C$6,D282*Alíquotas!$C$7))</f>
        <v>0</v>
      </c>
      <c r="J282" s="21">
        <f>IF(D282-I282&lt;=Alíquotas!$G$5, 0, IF(D282-I282&lt;=Alíquotas!$G$6, D282*Alíquotas!$H$6, IF(D282-I282&lt;=Alíquotas!$G$7, D282*Alíquotas!$H$7, IF(D282-I282&lt;=Alíquotas!$G$8, D282*Alíquotas!$H$8, D282*Alíquotas!$H$9))))</f>
        <v>0</v>
      </c>
      <c r="K282" s="21">
        <f t="shared" si="34"/>
        <v>0</v>
      </c>
      <c r="L282" s="21">
        <f t="shared" si="35"/>
        <v>0</v>
      </c>
      <c r="M282" s="21">
        <f t="shared" si="37"/>
        <v>0</v>
      </c>
      <c r="N282" s="21">
        <f t="shared" si="39"/>
        <v>0</v>
      </c>
      <c r="O282" s="21">
        <f t="shared" si="38"/>
        <v>0</v>
      </c>
    </row>
    <row r="283" spans="1:15" x14ac:dyDescent="0.25">
      <c r="A283" s="19"/>
      <c r="B283" s="20"/>
      <c r="C283" s="20"/>
      <c r="D283" s="21"/>
      <c r="E283" s="31"/>
      <c r="F283" s="21">
        <f t="shared" si="33"/>
        <v>0</v>
      </c>
      <c r="G283" s="31"/>
      <c r="H283" s="21">
        <f t="shared" si="36"/>
        <v>0</v>
      </c>
      <c r="I283" s="21">
        <f>IF(D283&lt;=Alíquotas!$B$5,D283*Alíquotas!$C$5,IF(D283&lt;=Alíquotas!$B$6,D283*Alíquotas!$C$6,D283*Alíquotas!$C$7))</f>
        <v>0</v>
      </c>
      <c r="J283" s="21">
        <f>IF(D283-I283&lt;=Alíquotas!$G$5, 0, IF(D283-I283&lt;=Alíquotas!$G$6, D283*Alíquotas!$H$6, IF(D283-I283&lt;=Alíquotas!$G$7, D283*Alíquotas!$H$7, IF(D283-I283&lt;=Alíquotas!$G$8, D283*Alíquotas!$H$8, D283*Alíquotas!$H$9))))</f>
        <v>0</v>
      </c>
      <c r="K283" s="21">
        <f t="shared" si="34"/>
        <v>0</v>
      </c>
      <c r="L283" s="21">
        <f t="shared" si="35"/>
        <v>0</v>
      </c>
      <c r="M283" s="21">
        <f t="shared" si="37"/>
        <v>0</v>
      </c>
      <c r="N283" s="21">
        <f t="shared" si="39"/>
        <v>0</v>
      </c>
      <c r="O283" s="21">
        <f t="shared" si="38"/>
        <v>0</v>
      </c>
    </row>
    <row r="284" spans="1:15" x14ac:dyDescent="0.25">
      <c r="A284" s="19"/>
      <c r="B284" s="20"/>
      <c r="C284" s="20"/>
      <c r="D284" s="21"/>
      <c r="E284" s="31"/>
      <c r="F284" s="21">
        <f t="shared" si="33"/>
        <v>0</v>
      </c>
      <c r="G284" s="31"/>
      <c r="H284" s="21">
        <f t="shared" si="36"/>
        <v>0</v>
      </c>
      <c r="I284" s="21">
        <f>IF(D284&lt;=Alíquotas!$B$5,D284*Alíquotas!$C$5,IF(D284&lt;=Alíquotas!$B$6,D284*Alíquotas!$C$6,D284*Alíquotas!$C$7))</f>
        <v>0</v>
      </c>
      <c r="J284" s="21">
        <f>IF(D284-I284&lt;=Alíquotas!$G$5, 0, IF(D284-I284&lt;=Alíquotas!$G$6, D284*Alíquotas!$H$6, IF(D284-I284&lt;=Alíquotas!$G$7, D284*Alíquotas!$H$7, IF(D284-I284&lt;=Alíquotas!$G$8, D284*Alíquotas!$H$8, D284*Alíquotas!$H$9))))</f>
        <v>0</v>
      </c>
      <c r="K284" s="21">
        <f t="shared" si="34"/>
        <v>0</v>
      </c>
      <c r="L284" s="21">
        <f t="shared" si="35"/>
        <v>0</v>
      </c>
      <c r="M284" s="21">
        <f t="shared" si="37"/>
        <v>0</v>
      </c>
      <c r="N284" s="21">
        <f t="shared" si="39"/>
        <v>0</v>
      </c>
      <c r="O284" s="21">
        <f t="shared" si="38"/>
        <v>0</v>
      </c>
    </row>
    <row r="285" spans="1:15" x14ac:dyDescent="0.25">
      <c r="A285" s="19"/>
      <c r="B285" s="20"/>
      <c r="C285" s="20"/>
      <c r="D285" s="21"/>
      <c r="E285" s="31"/>
      <c r="F285" s="21">
        <f t="shared" si="33"/>
        <v>0</v>
      </c>
      <c r="G285" s="31"/>
      <c r="H285" s="21">
        <f t="shared" si="36"/>
        <v>0</v>
      </c>
      <c r="I285" s="21">
        <f>IF(D285&lt;=Alíquotas!$B$5,D285*Alíquotas!$C$5,IF(D285&lt;=Alíquotas!$B$6,D285*Alíquotas!$C$6,D285*Alíquotas!$C$7))</f>
        <v>0</v>
      </c>
      <c r="J285" s="21">
        <f>IF(D285-I285&lt;=Alíquotas!$G$5, 0, IF(D285-I285&lt;=Alíquotas!$G$6, D285*Alíquotas!$H$6, IF(D285-I285&lt;=Alíquotas!$G$7, D285*Alíquotas!$H$7, IF(D285-I285&lt;=Alíquotas!$G$8, D285*Alíquotas!$H$8, D285*Alíquotas!$H$9))))</f>
        <v>0</v>
      </c>
      <c r="K285" s="21">
        <f t="shared" si="34"/>
        <v>0</v>
      </c>
      <c r="L285" s="21">
        <f t="shared" si="35"/>
        <v>0</v>
      </c>
      <c r="M285" s="21">
        <f t="shared" si="37"/>
        <v>0</v>
      </c>
      <c r="N285" s="21">
        <f t="shared" si="39"/>
        <v>0</v>
      </c>
      <c r="O285" s="21">
        <f t="shared" si="38"/>
        <v>0</v>
      </c>
    </row>
    <row r="286" spans="1:15" x14ac:dyDescent="0.25">
      <c r="A286" s="19"/>
      <c r="B286" s="20"/>
      <c r="C286" s="20"/>
      <c r="D286" s="21"/>
      <c r="E286" s="31"/>
      <c r="F286" s="21">
        <f t="shared" si="33"/>
        <v>0</v>
      </c>
      <c r="G286" s="31"/>
      <c r="H286" s="21">
        <f t="shared" si="36"/>
        <v>0</v>
      </c>
      <c r="I286" s="21">
        <f>IF(D286&lt;=Alíquotas!$B$5,D286*Alíquotas!$C$5,IF(D286&lt;=Alíquotas!$B$6,D286*Alíquotas!$C$6,D286*Alíquotas!$C$7))</f>
        <v>0</v>
      </c>
      <c r="J286" s="21">
        <f>IF(D286-I286&lt;=Alíquotas!$G$5, 0, IF(D286-I286&lt;=Alíquotas!$G$6, D286*Alíquotas!$H$6, IF(D286-I286&lt;=Alíquotas!$G$7, D286*Alíquotas!$H$7, IF(D286-I286&lt;=Alíquotas!$G$8, D286*Alíquotas!$H$8, D286*Alíquotas!$H$9))))</f>
        <v>0</v>
      </c>
      <c r="K286" s="21">
        <f t="shared" si="34"/>
        <v>0</v>
      </c>
      <c r="L286" s="21">
        <f t="shared" si="35"/>
        <v>0</v>
      </c>
      <c r="M286" s="21">
        <f t="shared" si="37"/>
        <v>0</v>
      </c>
      <c r="N286" s="21">
        <f t="shared" si="39"/>
        <v>0</v>
      </c>
      <c r="O286" s="21">
        <f t="shared" si="38"/>
        <v>0</v>
      </c>
    </row>
    <row r="287" spans="1:15" x14ac:dyDescent="0.25">
      <c r="A287" s="19"/>
      <c r="B287" s="20"/>
      <c r="C287" s="20"/>
      <c r="D287" s="21"/>
      <c r="E287" s="31"/>
      <c r="F287" s="21">
        <f t="shared" si="33"/>
        <v>0</v>
      </c>
      <c r="G287" s="31"/>
      <c r="H287" s="21">
        <f t="shared" si="36"/>
        <v>0</v>
      </c>
      <c r="I287" s="21">
        <f>IF(D287&lt;=Alíquotas!$B$5,D287*Alíquotas!$C$5,IF(D287&lt;=Alíquotas!$B$6,D287*Alíquotas!$C$6,D287*Alíquotas!$C$7))</f>
        <v>0</v>
      </c>
      <c r="J287" s="21">
        <f>IF(D287-I287&lt;=Alíquotas!$G$5, 0, IF(D287-I287&lt;=Alíquotas!$G$6, D287*Alíquotas!$H$6, IF(D287-I287&lt;=Alíquotas!$G$7, D287*Alíquotas!$H$7, IF(D287-I287&lt;=Alíquotas!$G$8, D287*Alíquotas!$H$8, D287*Alíquotas!$H$9))))</f>
        <v>0</v>
      </c>
      <c r="K287" s="21">
        <f t="shared" si="34"/>
        <v>0</v>
      </c>
      <c r="L287" s="21">
        <f t="shared" si="35"/>
        <v>0</v>
      </c>
      <c r="M287" s="21">
        <f t="shared" si="37"/>
        <v>0</v>
      </c>
      <c r="N287" s="21">
        <f t="shared" si="39"/>
        <v>0</v>
      </c>
      <c r="O287" s="21">
        <f t="shared" si="38"/>
        <v>0</v>
      </c>
    </row>
    <row r="288" spans="1:15" x14ac:dyDescent="0.25">
      <c r="A288" s="19"/>
      <c r="B288" s="20"/>
      <c r="C288" s="20"/>
      <c r="D288" s="21"/>
      <c r="E288" s="31"/>
      <c r="F288" s="21">
        <f t="shared" si="33"/>
        <v>0</v>
      </c>
      <c r="G288" s="31"/>
      <c r="H288" s="21">
        <f t="shared" si="36"/>
        <v>0</v>
      </c>
      <c r="I288" s="21">
        <f>IF(D288&lt;=Alíquotas!$B$5,D288*Alíquotas!$C$5,IF(D288&lt;=Alíquotas!$B$6,D288*Alíquotas!$C$6,D288*Alíquotas!$C$7))</f>
        <v>0</v>
      </c>
      <c r="J288" s="21">
        <f>IF(D288-I288&lt;=Alíquotas!$G$5, 0, IF(D288-I288&lt;=Alíquotas!$G$6, D288*Alíquotas!$H$6, IF(D288-I288&lt;=Alíquotas!$G$7, D288*Alíquotas!$H$7, IF(D288-I288&lt;=Alíquotas!$G$8, D288*Alíquotas!$H$8, D288*Alíquotas!$H$9))))</f>
        <v>0</v>
      </c>
      <c r="K288" s="21">
        <f t="shared" si="34"/>
        <v>0</v>
      </c>
      <c r="L288" s="21">
        <f t="shared" si="35"/>
        <v>0</v>
      </c>
      <c r="M288" s="21">
        <f t="shared" si="37"/>
        <v>0</v>
      </c>
      <c r="N288" s="21">
        <f t="shared" si="39"/>
        <v>0</v>
      </c>
      <c r="O288" s="21">
        <f t="shared" si="38"/>
        <v>0</v>
      </c>
    </row>
    <row r="289" spans="1:15" x14ac:dyDescent="0.25">
      <c r="A289" s="19"/>
      <c r="B289" s="20"/>
      <c r="C289" s="20"/>
      <c r="D289" s="21"/>
      <c r="E289" s="31"/>
      <c r="F289" s="21">
        <f t="shared" si="33"/>
        <v>0</v>
      </c>
      <c r="G289" s="31"/>
      <c r="H289" s="21">
        <f t="shared" si="36"/>
        <v>0</v>
      </c>
      <c r="I289" s="21">
        <f>IF(D289&lt;=Alíquotas!$B$5,D289*Alíquotas!$C$5,IF(D289&lt;=Alíquotas!$B$6,D289*Alíquotas!$C$6,D289*Alíquotas!$C$7))</f>
        <v>0</v>
      </c>
      <c r="J289" s="21">
        <f>IF(D289-I289&lt;=Alíquotas!$G$5, 0, IF(D289-I289&lt;=Alíquotas!$G$6, D289*Alíquotas!$H$6, IF(D289-I289&lt;=Alíquotas!$G$7, D289*Alíquotas!$H$7, IF(D289-I289&lt;=Alíquotas!$G$8, D289*Alíquotas!$H$8, D289*Alíquotas!$H$9))))</f>
        <v>0</v>
      </c>
      <c r="K289" s="21">
        <f t="shared" si="34"/>
        <v>0</v>
      </c>
      <c r="L289" s="21">
        <f t="shared" si="35"/>
        <v>0</v>
      </c>
      <c r="M289" s="21">
        <f t="shared" si="37"/>
        <v>0</v>
      </c>
      <c r="N289" s="21">
        <f t="shared" si="39"/>
        <v>0</v>
      </c>
      <c r="O289" s="21">
        <f t="shared" si="38"/>
        <v>0</v>
      </c>
    </row>
    <row r="290" spans="1:15" x14ac:dyDescent="0.25">
      <c r="A290" s="19"/>
      <c r="B290" s="20"/>
      <c r="C290" s="20"/>
      <c r="D290" s="21"/>
      <c r="E290" s="31"/>
      <c r="F290" s="21">
        <f t="shared" si="33"/>
        <v>0</v>
      </c>
      <c r="G290" s="31"/>
      <c r="H290" s="21">
        <f t="shared" si="36"/>
        <v>0</v>
      </c>
      <c r="I290" s="21">
        <f>IF(D290&lt;=Alíquotas!$B$5,D290*Alíquotas!$C$5,IF(D290&lt;=Alíquotas!$B$6,D290*Alíquotas!$C$6,D290*Alíquotas!$C$7))</f>
        <v>0</v>
      </c>
      <c r="J290" s="21">
        <f>IF(D290-I290&lt;=Alíquotas!$G$5, 0, IF(D290-I290&lt;=Alíquotas!$G$6, D290*Alíquotas!$H$6, IF(D290-I290&lt;=Alíquotas!$G$7, D290*Alíquotas!$H$7, IF(D290-I290&lt;=Alíquotas!$G$8, D290*Alíquotas!$H$8, D290*Alíquotas!$H$9))))</f>
        <v>0</v>
      </c>
      <c r="K290" s="21">
        <f t="shared" si="34"/>
        <v>0</v>
      </c>
      <c r="L290" s="21">
        <f t="shared" si="35"/>
        <v>0</v>
      </c>
      <c r="M290" s="21">
        <f t="shared" si="37"/>
        <v>0</v>
      </c>
      <c r="N290" s="21">
        <f t="shared" si="39"/>
        <v>0</v>
      </c>
      <c r="O290" s="21">
        <f t="shared" si="38"/>
        <v>0</v>
      </c>
    </row>
    <row r="291" spans="1:15" x14ac:dyDescent="0.25">
      <c r="A291" s="19"/>
      <c r="B291" s="20"/>
      <c r="C291" s="20"/>
      <c r="D291" s="21"/>
      <c r="E291" s="31"/>
      <c r="F291" s="21">
        <f t="shared" si="33"/>
        <v>0</v>
      </c>
      <c r="G291" s="31"/>
      <c r="H291" s="21">
        <f t="shared" si="36"/>
        <v>0</v>
      </c>
      <c r="I291" s="21">
        <f>IF(D291&lt;=Alíquotas!$B$5,D291*Alíquotas!$C$5,IF(D291&lt;=Alíquotas!$B$6,D291*Alíquotas!$C$6,D291*Alíquotas!$C$7))</f>
        <v>0</v>
      </c>
      <c r="J291" s="21">
        <f>IF(D291-I291&lt;=Alíquotas!$G$5, 0, IF(D291-I291&lt;=Alíquotas!$G$6, D291*Alíquotas!$H$6, IF(D291-I291&lt;=Alíquotas!$G$7, D291*Alíquotas!$H$7, IF(D291-I291&lt;=Alíquotas!$G$8, D291*Alíquotas!$H$8, D291*Alíquotas!$H$9))))</f>
        <v>0</v>
      </c>
      <c r="K291" s="21">
        <f t="shared" si="34"/>
        <v>0</v>
      </c>
      <c r="L291" s="21">
        <f t="shared" si="35"/>
        <v>0</v>
      </c>
      <c r="M291" s="21">
        <f t="shared" si="37"/>
        <v>0</v>
      </c>
      <c r="N291" s="21">
        <f t="shared" si="39"/>
        <v>0</v>
      </c>
      <c r="O291" s="21">
        <f t="shared" si="38"/>
        <v>0</v>
      </c>
    </row>
    <row r="292" spans="1:15" x14ac:dyDescent="0.25">
      <c r="A292" s="19"/>
      <c r="B292" s="20"/>
      <c r="C292" s="20"/>
      <c r="D292" s="21"/>
      <c r="E292" s="31"/>
      <c r="F292" s="21">
        <f t="shared" si="33"/>
        <v>0</v>
      </c>
      <c r="G292" s="31"/>
      <c r="H292" s="21">
        <f t="shared" si="36"/>
        <v>0</v>
      </c>
      <c r="I292" s="21">
        <f>IF(D292&lt;=Alíquotas!$B$5,D292*Alíquotas!$C$5,IF(D292&lt;=Alíquotas!$B$6,D292*Alíquotas!$C$6,D292*Alíquotas!$C$7))</f>
        <v>0</v>
      </c>
      <c r="J292" s="21">
        <f>IF(D292-I292&lt;=Alíquotas!$G$5, 0, IF(D292-I292&lt;=Alíquotas!$G$6, D292*Alíquotas!$H$6, IF(D292-I292&lt;=Alíquotas!$G$7, D292*Alíquotas!$H$7, IF(D292-I292&lt;=Alíquotas!$G$8, D292*Alíquotas!$H$8, D292*Alíquotas!$H$9))))</f>
        <v>0</v>
      </c>
      <c r="K292" s="21">
        <f t="shared" si="34"/>
        <v>0</v>
      </c>
      <c r="L292" s="21">
        <f t="shared" si="35"/>
        <v>0</v>
      </c>
      <c r="M292" s="21">
        <f t="shared" si="37"/>
        <v>0</v>
      </c>
      <c r="N292" s="21">
        <f t="shared" si="39"/>
        <v>0</v>
      </c>
      <c r="O292" s="21">
        <f t="shared" si="38"/>
        <v>0</v>
      </c>
    </row>
    <row r="293" spans="1:15" x14ac:dyDescent="0.25">
      <c r="A293" s="19"/>
      <c r="B293" s="20"/>
      <c r="C293" s="20"/>
      <c r="D293" s="21"/>
      <c r="E293" s="31"/>
      <c r="F293" s="21">
        <f t="shared" si="33"/>
        <v>0</v>
      </c>
      <c r="G293" s="31"/>
      <c r="H293" s="21">
        <f t="shared" si="36"/>
        <v>0</v>
      </c>
      <c r="I293" s="21">
        <f>IF(D293&lt;=Alíquotas!$B$5,D293*Alíquotas!$C$5,IF(D293&lt;=Alíquotas!$B$6,D293*Alíquotas!$C$6,D293*Alíquotas!$C$7))</f>
        <v>0</v>
      </c>
      <c r="J293" s="21">
        <f>IF(D293-I293&lt;=Alíquotas!$G$5, 0, IF(D293-I293&lt;=Alíquotas!$G$6, D293*Alíquotas!$H$6, IF(D293-I293&lt;=Alíquotas!$G$7, D293*Alíquotas!$H$7, IF(D293-I293&lt;=Alíquotas!$G$8, D293*Alíquotas!$H$8, D293*Alíquotas!$H$9))))</f>
        <v>0</v>
      </c>
      <c r="K293" s="21">
        <f t="shared" si="34"/>
        <v>0</v>
      </c>
      <c r="L293" s="21">
        <f t="shared" si="35"/>
        <v>0</v>
      </c>
      <c r="M293" s="21">
        <f t="shared" si="37"/>
        <v>0</v>
      </c>
      <c r="N293" s="21">
        <f t="shared" si="39"/>
        <v>0</v>
      </c>
      <c r="O293" s="21">
        <f t="shared" si="38"/>
        <v>0</v>
      </c>
    </row>
    <row r="294" spans="1:15" x14ac:dyDescent="0.25">
      <c r="A294" s="19"/>
      <c r="B294" s="20"/>
      <c r="C294" s="20"/>
      <c r="D294" s="21"/>
      <c r="E294" s="31"/>
      <c r="F294" s="21">
        <f t="shared" si="33"/>
        <v>0</v>
      </c>
      <c r="G294" s="31"/>
      <c r="H294" s="21">
        <f t="shared" si="36"/>
        <v>0</v>
      </c>
      <c r="I294" s="21">
        <f>IF(D294&lt;=Alíquotas!$B$5,D294*Alíquotas!$C$5,IF(D294&lt;=Alíquotas!$B$6,D294*Alíquotas!$C$6,D294*Alíquotas!$C$7))</f>
        <v>0</v>
      </c>
      <c r="J294" s="21">
        <f>IF(D294-I294&lt;=Alíquotas!$G$5, 0, IF(D294-I294&lt;=Alíquotas!$G$6, D294*Alíquotas!$H$6, IF(D294-I294&lt;=Alíquotas!$G$7, D294*Alíquotas!$H$7, IF(D294-I294&lt;=Alíquotas!$G$8, D294*Alíquotas!$H$8, D294*Alíquotas!$H$9))))</f>
        <v>0</v>
      </c>
      <c r="K294" s="21">
        <f t="shared" si="34"/>
        <v>0</v>
      </c>
      <c r="L294" s="21">
        <f t="shared" si="35"/>
        <v>0</v>
      </c>
      <c r="M294" s="21">
        <f t="shared" si="37"/>
        <v>0</v>
      </c>
      <c r="N294" s="21">
        <f t="shared" si="39"/>
        <v>0</v>
      </c>
      <c r="O294" s="21">
        <f t="shared" si="38"/>
        <v>0</v>
      </c>
    </row>
    <row r="295" spans="1:15" x14ac:dyDescent="0.25">
      <c r="A295" s="19"/>
      <c r="B295" s="20"/>
      <c r="C295" s="20"/>
      <c r="D295" s="21"/>
      <c r="E295" s="31"/>
      <c r="F295" s="21">
        <f t="shared" si="33"/>
        <v>0</v>
      </c>
      <c r="G295" s="31"/>
      <c r="H295" s="21">
        <f t="shared" si="36"/>
        <v>0</v>
      </c>
      <c r="I295" s="21">
        <f>IF(D295&lt;=Alíquotas!$B$5,D295*Alíquotas!$C$5,IF(D295&lt;=Alíquotas!$B$6,D295*Alíquotas!$C$6,D295*Alíquotas!$C$7))</f>
        <v>0</v>
      </c>
      <c r="J295" s="21">
        <f>IF(D295-I295&lt;=Alíquotas!$G$5, 0, IF(D295-I295&lt;=Alíquotas!$G$6, D295*Alíquotas!$H$6, IF(D295-I295&lt;=Alíquotas!$G$7, D295*Alíquotas!$H$7, IF(D295-I295&lt;=Alíquotas!$G$8, D295*Alíquotas!$H$8, D295*Alíquotas!$H$9))))</f>
        <v>0</v>
      </c>
      <c r="K295" s="21">
        <f t="shared" si="34"/>
        <v>0</v>
      </c>
      <c r="L295" s="21">
        <f t="shared" si="35"/>
        <v>0</v>
      </c>
      <c r="M295" s="21">
        <f t="shared" si="37"/>
        <v>0</v>
      </c>
      <c r="N295" s="21">
        <f t="shared" si="39"/>
        <v>0</v>
      </c>
      <c r="O295" s="21">
        <f t="shared" si="38"/>
        <v>0</v>
      </c>
    </row>
    <row r="296" spans="1:15" x14ac:dyDescent="0.25">
      <c r="A296" s="19"/>
      <c r="B296" s="20"/>
      <c r="C296" s="20"/>
      <c r="D296" s="21"/>
      <c r="E296" s="31"/>
      <c r="F296" s="21">
        <f t="shared" si="33"/>
        <v>0</v>
      </c>
      <c r="G296" s="31"/>
      <c r="H296" s="21">
        <f t="shared" si="36"/>
        <v>0</v>
      </c>
      <c r="I296" s="21">
        <f>IF(D296&lt;=Alíquotas!$B$5,D296*Alíquotas!$C$5,IF(D296&lt;=Alíquotas!$B$6,D296*Alíquotas!$C$6,D296*Alíquotas!$C$7))</f>
        <v>0</v>
      </c>
      <c r="J296" s="21">
        <f>IF(D296-I296&lt;=Alíquotas!$G$5, 0, IF(D296-I296&lt;=Alíquotas!$G$6, D296*Alíquotas!$H$6, IF(D296-I296&lt;=Alíquotas!$G$7, D296*Alíquotas!$H$7, IF(D296-I296&lt;=Alíquotas!$G$8, D296*Alíquotas!$H$8, D296*Alíquotas!$H$9))))</f>
        <v>0</v>
      </c>
      <c r="K296" s="21">
        <f t="shared" si="34"/>
        <v>0</v>
      </c>
      <c r="L296" s="21">
        <f t="shared" si="35"/>
        <v>0</v>
      </c>
      <c r="M296" s="21">
        <f t="shared" si="37"/>
        <v>0</v>
      </c>
      <c r="N296" s="21">
        <f t="shared" si="39"/>
        <v>0</v>
      </c>
      <c r="O296" s="21">
        <f t="shared" si="38"/>
        <v>0</v>
      </c>
    </row>
    <row r="297" spans="1:15" x14ac:dyDescent="0.25">
      <c r="A297" s="19"/>
      <c r="B297" s="20"/>
      <c r="C297" s="20"/>
      <c r="D297" s="21"/>
      <c r="E297" s="31"/>
      <c r="F297" s="21">
        <f t="shared" ref="F297:F360" si="40">HORA_EXTRA(D297,E297)</f>
        <v>0</v>
      </c>
      <c r="G297" s="31"/>
      <c r="H297" s="21">
        <f t="shared" si="36"/>
        <v>0</v>
      </c>
      <c r="I297" s="21">
        <f>IF(D297&lt;=Alíquotas!$B$5,D297*Alíquotas!$C$5,IF(D297&lt;=Alíquotas!$B$6,D297*Alíquotas!$C$6,D297*Alíquotas!$C$7))</f>
        <v>0</v>
      </c>
      <c r="J297" s="21">
        <f>IF(D297-I297&lt;=Alíquotas!$G$5, 0, IF(D297-I297&lt;=Alíquotas!$G$6, D297*Alíquotas!$H$6, IF(D297-I297&lt;=Alíquotas!$G$7, D297*Alíquotas!$H$7, IF(D297-I297&lt;=Alíquotas!$G$8, D297*Alíquotas!$H$8, D297*Alíquotas!$H$9))))</f>
        <v>0</v>
      </c>
      <c r="K297" s="21">
        <f t="shared" ref="K297:K360" si="41">SUM(H297+I297+J297)</f>
        <v>0</v>
      </c>
      <c r="L297" s="21">
        <f t="shared" ref="L297:L360" si="42">D297-K297+F297</f>
        <v>0</v>
      </c>
      <c r="M297" s="21">
        <f t="shared" si="37"/>
        <v>0</v>
      </c>
      <c r="N297" s="21">
        <f t="shared" si="39"/>
        <v>0</v>
      </c>
      <c r="O297" s="21">
        <f t="shared" si="38"/>
        <v>0</v>
      </c>
    </row>
    <row r="298" spans="1:15" x14ac:dyDescent="0.25">
      <c r="A298" s="19"/>
      <c r="B298" s="20"/>
      <c r="C298" s="20"/>
      <c r="D298" s="21"/>
      <c r="E298" s="31"/>
      <c r="F298" s="21">
        <f t="shared" si="40"/>
        <v>0</v>
      </c>
      <c r="G298" s="31"/>
      <c r="H298" s="21">
        <f t="shared" si="36"/>
        <v>0</v>
      </c>
      <c r="I298" s="21">
        <f>IF(D298&lt;=Alíquotas!$B$5,D298*Alíquotas!$C$5,IF(D298&lt;=Alíquotas!$B$6,D298*Alíquotas!$C$6,D298*Alíquotas!$C$7))</f>
        <v>0</v>
      </c>
      <c r="J298" s="21">
        <f>IF(D298-I298&lt;=Alíquotas!$G$5, 0, IF(D298-I298&lt;=Alíquotas!$G$6, D298*Alíquotas!$H$6, IF(D298-I298&lt;=Alíquotas!$G$7, D298*Alíquotas!$H$7, IF(D298-I298&lt;=Alíquotas!$G$8, D298*Alíquotas!$H$8, D298*Alíquotas!$H$9))))</f>
        <v>0</v>
      </c>
      <c r="K298" s="21">
        <f t="shared" si="41"/>
        <v>0</v>
      </c>
      <c r="L298" s="21">
        <f t="shared" si="42"/>
        <v>0</v>
      </c>
      <c r="M298" s="21">
        <f t="shared" si="37"/>
        <v>0</v>
      </c>
      <c r="N298" s="21">
        <f t="shared" si="39"/>
        <v>0</v>
      </c>
      <c r="O298" s="21">
        <f t="shared" si="38"/>
        <v>0</v>
      </c>
    </row>
    <row r="299" spans="1:15" x14ac:dyDescent="0.25">
      <c r="A299" s="19"/>
      <c r="B299" s="20"/>
      <c r="C299" s="20"/>
      <c r="D299" s="21"/>
      <c r="E299" s="31"/>
      <c r="F299" s="21">
        <f t="shared" si="40"/>
        <v>0</v>
      </c>
      <c r="G299" s="31"/>
      <c r="H299" s="21">
        <f t="shared" si="36"/>
        <v>0</v>
      </c>
      <c r="I299" s="21">
        <f>IF(D299&lt;=Alíquotas!$B$5,D299*Alíquotas!$C$5,IF(D299&lt;=Alíquotas!$B$6,D299*Alíquotas!$C$6,D299*Alíquotas!$C$7))</f>
        <v>0</v>
      </c>
      <c r="J299" s="21">
        <f>IF(D299-I299&lt;=Alíquotas!$G$5, 0, IF(D299-I299&lt;=Alíquotas!$G$6, D299*Alíquotas!$H$6, IF(D299-I299&lt;=Alíquotas!$G$7, D299*Alíquotas!$H$7, IF(D299-I299&lt;=Alíquotas!$G$8, D299*Alíquotas!$H$8, D299*Alíquotas!$H$9))))</f>
        <v>0</v>
      </c>
      <c r="K299" s="21">
        <f t="shared" si="41"/>
        <v>0</v>
      </c>
      <c r="L299" s="21">
        <f t="shared" si="42"/>
        <v>0</v>
      </c>
      <c r="M299" s="21">
        <f t="shared" si="37"/>
        <v>0</v>
      </c>
      <c r="N299" s="21">
        <f t="shared" si="39"/>
        <v>0</v>
      </c>
      <c r="O299" s="21">
        <f t="shared" si="38"/>
        <v>0</v>
      </c>
    </row>
    <row r="300" spans="1:15" x14ac:dyDescent="0.25">
      <c r="A300" s="19"/>
      <c r="B300" s="20"/>
      <c r="C300" s="20"/>
      <c r="D300" s="21"/>
      <c r="E300" s="31"/>
      <c r="F300" s="21">
        <f t="shared" si="40"/>
        <v>0</v>
      </c>
      <c r="G300" s="31"/>
      <c r="H300" s="21">
        <f t="shared" si="36"/>
        <v>0</v>
      </c>
      <c r="I300" s="21">
        <f>IF(D300&lt;=Alíquotas!$B$5,D300*Alíquotas!$C$5,IF(D300&lt;=Alíquotas!$B$6,D300*Alíquotas!$C$6,D300*Alíquotas!$C$7))</f>
        <v>0</v>
      </c>
      <c r="J300" s="21">
        <f>IF(D300-I300&lt;=Alíquotas!$G$5, 0, IF(D300-I300&lt;=Alíquotas!$G$6, D300*Alíquotas!$H$6, IF(D300-I300&lt;=Alíquotas!$G$7, D300*Alíquotas!$H$7, IF(D300-I300&lt;=Alíquotas!$G$8, D300*Alíquotas!$H$8, D300*Alíquotas!$H$9))))</f>
        <v>0</v>
      </c>
      <c r="K300" s="21">
        <f t="shared" si="41"/>
        <v>0</v>
      </c>
      <c r="L300" s="21">
        <f t="shared" si="42"/>
        <v>0</v>
      </c>
      <c r="M300" s="21">
        <f t="shared" si="37"/>
        <v>0</v>
      </c>
      <c r="N300" s="21">
        <f t="shared" si="39"/>
        <v>0</v>
      </c>
      <c r="O300" s="21">
        <f t="shared" si="38"/>
        <v>0</v>
      </c>
    </row>
    <row r="301" spans="1:15" x14ac:dyDescent="0.25">
      <c r="A301" s="19"/>
      <c r="B301" s="20"/>
      <c r="C301" s="20"/>
      <c r="D301" s="21"/>
      <c r="E301" s="31"/>
      <c r="F301" s="21">
        <f t="shared" si="40"/>
        <v>0</v>
      </c>
      <c r="G301" s="31"/>
      <c r="H301" s="21">
        <f t="shared" si="36"/>
        <v>0</v>
      </c>
      <c r="I301" s="21">
        <f>IF(D301&lt;=Alíquotas!$B$5,D301*Alíquotas!$C$5,IF(D301&lt;=Alíquotas!$B$6,D301*Alíquotas!$C$6,D301*Alíquotas!$C$7))</f>
        <v>0</v>
      </c>
      <c r="J301" s="21">
        <f>IF(D301-I301&lt;=Alíquotas!$G$5, 0, IF(D301-I301&lt;=Alíquotas!$G$6, D301*Alíquotas!$H$6, IF(D301-I301&lt;=Alíquotas!$G$7, D301*Alíquotas!$H$7, IF(D301-I301&lt;=Alíquotas!$G$8, D301*Alíquotas!$H$8, D301*Alíquotas!$H$9))))</f>
        <v>0</v>
      </c>
      <c r="K301" s="21">
        <f t="shared" si="41"/>
        <v>0</v>
      </c>
      <c r="L301" s="21">
        <f t="shared" si="42"/>
        <v>0</v>
      </c>
      <c r="M301" s="21">
        <f t="shared" si="37"/>
        <v>0</v>
      </c>
      <c r="N301" s="21">
        <f t="shared" si="39"/>
        <v>0</v>
      </c>
      <c r="O301" s="21">
        <f t="shared" si="38"/>
        <v>0</v>
      </c>
    </row>
    <row r="302" spans="1:15" x14ac:dyDescent="0.25">
      <c r="A302" s="19"/>
      <c r="B302" s="20"/>
      <c r="C302" s="20"/>
      <c r="D302" s="21"/>
      <c r="E302" s="31"/>
      <c r="F302" s="21">
        <f t="shared" si="40"/>
        <v>0</v>
      </c>
      <c r="G302" s="31"/>
      <c r="H302" s="21">
        <f t="shared" si="36"/>
        <v>0</v>
      </c>
      <c r="I302" s="21">
        <f>IF(D302&lt;=Alíquotas!$B$5,D302*Alíquotas!$C$5,IF(D302&lt;=Alíquotas!$B$6,D302*Alíquotas!$C$6,D302*Alíquotas!$C$7))</f>
        <v>0</v>
      </c>
      <c r="J302" s="21">
        <f>IF(D302-I302&lt;=Alíquotas!$G$5, 0, IF(D302-I302&lt;=Alíquotas!$G$6, D302*Alíquotas!$H$6, IF(D302-I302&lt;=Alíquotas!$G$7, D302*Alíquotas!$H$7, IF(D302-I302&lt;=Alíquotas!$G$8, D302*Alíquotas!$H$8, D302*Alíquotas!$H$9))))</f>
        <v>0</v>
      </c>
      <c r="K302" s="21">
        <f t="shared" si="41"/>
        <v>0</v>
      </c>
      <c r="L302" s="21">
        <f t="shared" si="42"/>
        <v>0</v>
      </c>
      <c r="M302" s="21">
        <f t="shared" si="37"/>
        <v>0</v>
      </c>
      <c r="N302" s="21">
        <f t="shared" si="39"/>
        <v>0</v>
      </c>
      <c r="O302" s="21">
        <f t="shared" si="38"/>
        <v>0</v>
      </c>
    </row>
    <row r="303" spans="1:15" x14ac:dyDescent="0.25">
      <c r="A303" s="19"/>
      <c r="B303" s="20"/>
      <c r="C303" s="20"/>
      <c r="D303" s="21"/>
      <c r="E303" s="31"/>
      <c r="F303" s="21">
        <f t="shared" si="40"/>
        <v>0</v>
      </c>
      <c r="G303" s="31"/>
      <c r="H303" s="21">
        <f t="shared" si="36"/>
        <v>0</v>
      </c>
      <c r="I303" s="21">
        <f>IF(D303&lt;=Alíquotas!$B$5,D303*Alíquotas!$C$5,IF(D303&lt;=Alíquotas!$B$6,D303*Alíquotas!$C$6,D303*Alíquotas!$C$7))</f>
        <v>0</v>
      </c>
      <c r="J303" s="21">
        <f>IF(D303-I303&lt;=Alíquotas!$G$5, 0, IF(D303-I303&lt;=Alíquotas!$G$6, D303*Alíquotas!$H$6, IF(D303-I303&lt;=Alíquotas!$G$7, D303*Alíquotas!$H$7, IF(D303-I303&lt;=Alíquotas!$G$8, D303*Alíquotas!$H$8, D303*Alíquotas!$H$9))))</f>
        <v>0</v>
      </c>
      <c r="K303" s="21">
        <f t="shared" si="41"/>
        <v>0</v>
      </c>
      <c r="L303" s="21">
        <f t="shared" si="42"/>
        <v>0</v>
      </c>
      <c r="M303" s="21">
        <f t="shared" si="37"/>
        <v>0</v>
      </c>
      <c r="N303" s="21">
        <f t="shared" si="39"/>
        <v>0</v>
      </c>
      <c r="O303" s="21">
        <f t="shared" si="38"/>
        <v>0</v>
      </c>
    </row>
    <row r="304" spans="1:15" x14ac:dyDescent="0.25">
      <c r="A304" s="19"/>
      <c r="B304" s="20"/>
      <c r="C304" s="20"/>
      <c r="D304" s="21"/>
      <c r="E304" s="31"/>
      <c r="F304" s="21">
        <f t="shared" si="40"/>
        <v>0</v>
      </c>
      <c r="G304" s="31"/>
      <c r="H304" s="21">
        <f t="shared" si="36"/>
        <v>0</v>
      </c>
      <c r="I304" s="21">
        <f>IF(D304&lt;=Alíquotas!$B$5,D304*Alíquotas!$C$5,IF(D304&lt;=Alíquotas!$B$6,D304*Alíquotas!$C$6,D304*Alíquotas!$C$7))</f>
        <v>0</v>
      </c>
      <c r="J304" s="21">
        <f>IF(D304-I304&lt;=Alíquotas!$G$5, 0, IF(D304-I304&lt;=Alíquotas!$G$6, D304*Alíquotas!$H$6, IF(D304-I304&lt;=Alíquotas!$G$7, D304*Alíquotas!$H$7, IF(D304-I304&lt;=Alíquotas!$G$8, D304*Alíquotas!$H$8, D304*Alíquotas!$H$9))))</f>
        <v>0</v>
      </c>
      <c r="K304" s="21">
        <f t="shared" si="41"/>
        <v>0</v>
      </c>
      <c r="L304" s="21">
        <f t="shared" si="42"/>
        <v>0</v>
      </c>
      <c r="M304" s="21">
        <f t="shared" si="37"/>
        <v>0</v>
      </c>
      <c r="N304" s="21">
        <f t="shared" si="39"/>
        <v>0</v>
      </c>
      <c r="O304" s="21">
        <f t="shared" si="38"/>
        <v>0</v>
      </c>
    </row>
    <row r="305" spans="1:15" x14ac:dyDescent="0.25">
      <c r="A305" s="19"/>
      <c r="B305" s="20"/>
      <c r="C305" s="20"/>
      <c r="D305" s="21"/>
      <c r="E305" s="31"/>
      <c r="F305" s="21">
        <f t="shared" si="40"/>
        <v>0</v>
      </c>
      <c r="G305" s="31"/>
      <c r="H305" s="21">
        <f t="shared" si="36"/>
        <v>0</v>
      </c>
      <c r="I305" s="21">
        <f>IF(D305&lt;=Alíquotas!$B$5,D305*Alíquotas!$C$5,IF(D305&lt;=Alíquotas!$B$6,D305*Alíquotas!$C$6,D305*Alíquotas!$C$7))</f>
        <v>0</v>
      </c>
      <c r="J305" s="21">
        <f>IF(D305-I305&lt;=Alíquotas!$G$5, 0, IF(D305-I305&lt;=Alíquotas!$G$6, D305*Alíquotas!$H$6, IF(D305-I305&lt;=Alíquotas!$G$7, D305*Alíquotas!$H$7, IF(D305-I305&lt;=Alíquotas!$G$8, D305*Alíquotas!$H$8, D305*Alíquotas!$H$9))))</f>
        <v>0</v>
      </c>
      <c r="K305" s="21">
        <f t="shared" si="41"/>
        <v>0</v>
      </c>
      <c r="L305" s="21">
        <f t="shared" si="42"/>
        <v>0</v>
      </c>
      <c r="M305" s="21">
        <f t="shared" si="37"/>
        <v>0</v>
      </c>
      <c r="N305" s="21">
        <f t="shared" si="39"/>
        <v>0</v>
      </c>
      <c r="O305" s="21">
        <f t="shared" si="38"/>
        <v>0</v>
      </c>
    </row>
    <row r="306" spans="1:15" x14ac:dyDescent="0.25">
      <c r="A306" s="19"/>
      <c r="B306" s="20"/>
      <c r="C306" s="20"/>
      <c r="D306" s="21"/>
      <c r="E306" s="31"/>
      <c r="F306" s="21">
        <f t="shared" si="40"/>
        <v>0</v>
      </c>
      <c r="G306" s="31"/>
      <c r="H306" s="21">
        <f t="shared" si="36"/>
        <v>0</v>
      </c>
      <c r="I306" s="21">
        <f>IF(D306&lt;=Alíquotas!$B$5,D306*Alíquotas!$C$5,IF(D306&lt;=Alíquotas!$B$6,D306*Alíquotas!$C$6,D306*Alíquotas!$C$7))</f>
        <v>0</v>
      </c>
      <c r="J306" s="21">
        <f>IF(D306-I306&lt;=Alíquotas!$G$5, 0, IF(D306-I306&lt;=Alíquotas!$G$6, D306*Alíquotas!$H$6, IF(D306-I306&lt;=Alíquotas!$G$7, D306*Alíquotas!$H$7, IF(D306-I306&lt;=Alíquotas!$G$8, D306*Alíquotas!$H$8, D306*Alíquotas!$H$9))))</f>
        <v>0</v>
      </c>
      <c r="K306" s="21">
        <f t="shared" si="41"/>
        <v>0</v>
      </c>
      <c r="L306" s="21">
        <f t="shared" si="42"/>
        <v>0</v>
      </c>
      <c r="M306" s="21">
        <f t="shared" si="37"/>
        <v>0</v>
      </c>
      <c r="N306" s="21">
        <f t="shared" si="39"/>
        <v>0</v>
      </c>
      <c r="O306" s="21">
        <f t="shared" si="38"/>
        <v>0</v>
      </c>
    </row>
    <row r="307" spans="1:15" x14ac:dyDescent="0.25">
      <c r="A307" s="19"/>
      <c r="B307" s="20"/>
      <c r="C307" s="20"/>
      <c r="D307" s="21"/>
      <c r="E307" s="31"/>
      <c r="F307" s="21">
        <f t="shared" si="40"/>
        <v>0</v>
      </c>
      <c r="G307" s="31"/>
      <c r="H307" s="21">
        <f t="shared" si="36"/>
        <v>0</v>
      </c>
      <c r="I307" s="21">
        <f>IF(D307&lt;=Alíquotas!$B$5,D307*Alíquotas!$C$5,IF(D307&lt;=Alíquotas!$B$6,D307*Alíquotas!$C$6,D307*Alíquotas!$C$7))</f>
        <v>0</v>
      </c>
      <c r="J307" s="21">
        <f>IF(D307-I307&lt;=Alíquotas!$G$5, 0, IF(D307-I307&lt;=Alíquotas!$G$6, D307*Alíquotas!$H$6, IF(D307-I307&lt;=Alíquotas!$G$7, D307*Alíquotas!$H$7, IF(D307-I307&lt;=Alíquotas!$G$8, D307*Alíquotas!$H$8, D307*Alíquotas!$H$9))))</f>
        <v>0</v>
      </c>
      <c r="K307" s="21">
        <f t="shared" si="41"/>
        <v>0</v>
      </c>
      <c r="L307" s="21">
        <f t="shared" si="42"/>
        <v>0</v>
      </c>
      <c r="M307" s="21">
        <f t="shared" si="37"/>
        <v>0</v>
      </c>
      <c r="N307" s="21">
        <f t="shared" si="39"/>
        <v>0</v>
      </c>
      <c r="O307" s="21">
        <f t="shared" si="38"/>
        <v>0</v>
      </c>
    </row>
    <row r="308" spans="1:15" x14ac:dyDescent="0.25">
      <c r="A308" s="19"/>
      <c r="B308" s="20"/>
      <c r="C308" s="20"/>
      <c r="D308" s="21"/>
      <c r="E308" s="31"/>
      <c r="F308" s="21">
        <f t="shared" si="40"/>
        <v>0</v>
      </c>
      <c r="G308" s="31"/>
      <c r="H308" s="21">
        <f t="shared" si="36"/>
        <v>0</v>
      </c>
      <c r="I308" s="21">
        <f>IF(D308&lt;=Alíquotas!$B$5,D308*Alíquotas!$C$5,IF(D308&lt;=Alíquotas!$B$6,D308*Alíquotas!$C$6,D308*Alíquotas!$C$7))</f>
        <v>0</v>
      </c>
      <c r="J308" s="21">
        <f>IF(D308-I308&lt;=Alíquotas!$G$5, 0, IF(D308-I308&lt;=Alíquotas!$G$6, D308*Alíquotas!$H$6, IF(D308-I308&lt;=Alíquotas!$G$7, D308*Alíquotas!$H$7, IF(D308-I308&lt;=Alíquotas!$G$8, D308*Alíquotas!$H$8, D308*Alíquotas!$H$9))))</f>
        <v>0</v>
      </c>
      <c r="K308" s="21">
        <f t="shared" si="41"/>
        <v>0</v>
      </c>
      <c r="L308" s="21">
        <f t="shared" si="42"/>
        <v>0</v>
      </c>
      <c r="M308" s="21">
        <f t="shared" si="37"/>
        <v>0</v>
      </c>
      <c r="N308" s="21">
        <f t="shared" si="39"/>
        <v>0</v>
      </c>
      <c r="O308" s="21">
        <f t="shared" si="38"/>
        <v>0</v>
      </c>
    </row>
    <row r="309" spans="1:15" x14ac:dyDescent="0.25">
      <c r="A309" s="19"/>
      <c r="B309" s="20"/>
      <c r="C309" s="20"/>
      <c r="D309" s="21"/>
      <c r="E309" s="31"/>
      <c r="F309" s="21">
        <f t="shared" si="40"/>
        <v>0</v>
      </c>
      <c r="G309" s="31"/>
      <c r="H309" s="21">
        <f t="shared" si="36"/>
        <v>0</v>
      </c>
      <c r="I309" s="21">
        <f>IF(D309&lt;=Alíquotas!$B$5,D309*Alíquotas!$C$5,IF(D309&lt;=Alíquotas!$B$6,D309*Alíquotas!$C$6,D309*Alíquotas!$C$7))</f>
        <v>0</v>
      </c>
      <c r="J309" s="21">
        <f>IF(D309-I309&lt;=Alíquotas!$G$5, 0, IF(D309-I309&lt;=Alíquotas!$G$6, D309*Alíquotas!$H$6, IF(D309-I309&lt;=Alíquotas!$G$7, D309*Alíquotas!$H$7, IF(D309-I309&lt;=Alíquotas!$G$8, D309*Alíquotas!$H$8, D309*Alíquotas!$H$9))))</f>
        <v>0</v>
      </c>
      <c r="K309" s="21">
        <f t="shared" si="41"/>
        <v>0</v>
      </c>
      <c r="L309" s="21">
        <f t="shared" si="42"/>
        <v>0</v>
      </c>
      <c r="M309" s="21">
        <f t="shared" si="37"/>
        <v>0</v>
      </c>
      <c r="N309" s="21">
        <f t="shared" si="39"/>
        <v>0</v>
      </c>
      <c r="O309" s="21">
        <f t="shared" si="38"/>
        <v>0</v>
      </c>
    </row>
    <row r="310" spans="1:15" x14ac:dyDescent="0.25">
      <c r="A310" s="19"/>
      <c r="B310" s="20"/>
      <c r="C310" s="20"/>
      <c r="D310" s="21"/>
      <c r="E310" s="31"/>
      <c r="F310" s="21">
        <f t="shared" si="40"/>
        <v>0</v>
      </c>
      <c r="G310" s="31"/>
      <c r="H310" s="21">
        <f t="shared" si="36"/>
        <v>0</v>
      </c>
      <c r="I310" s="21">
        <f>IF(D310&lt;=Alíquotas!$B$5,D310*Alíquotas!$C$5,IF(D310&lt;=Alíquotas!$B$6,D310*Alíquotas!$C$6,D310*Alíquotas!$C$7))</f>
        <v>0</v>
      </c>
      <c r="J310" s="21">
        <f>IF(D310-I310&lt;=Alíquotas!$G$5, 0, IF(D310-I310&lt;=Alíquotas!$G$6, D310*Alíquotas!$H$6, IF(D310-I310&lt;=Alíquotas!$G$7, D310*Alíquotas!$H$7, IF(D310-I310&lt;=Alíquotas!$G$8, D310*Alíquotas!$H$8, D310*Alíquotas!$H$9))))</f>
        <v>0</v>
      </c>
      <c r="K310" s="21">
        <f t="shared" si="41"/>
        <v>0</v>
      </c>
      <c r="L310" s="21">
        <f t="shared" si="42"/>
        <v>0</v>
      </c>
      <c r="M310" s="21">
        <f t="shared" si="37"/>
        <v>0</v>
      </c>
      <c r="N310" s="21">
        <f t="shared" si="39"/>
        <v>0</v>
      </c>
      <c r="O310" s="21">
        <f t="shared" si="38"/>
        <v>0</v>
      </c>
    </row>
    <row r="311" spans="1:15" x14ac:dyDescent="0.25">
      <c r="A311" s="19"/>
      <c r="B311" s="20"/>
      <c r="C311" s="20"/>
      <c r="D311" s="21"/>
      <c r="E311" s="31"/>
      <c r="F311" s="21">
        <f t="shared" si="40"/>
        <v>0</v>
      </c>
      <c r="G311" s="31"/>
      <c r="H311" s="21">
        <f t="shared" si="36"/>
        <v>0</v>
      </c>
      <c r="I311" s="21">
        <f>IF(D311&lt;=Alíquotas!$B$5,D311*Alíquotas!$C$5,IF(D311&lt;=Alíquotas!$B$6,D311*Alíquotas!$C$6,D311*Alíquotas!$C$7))</f>
        <v>0</v>
      </c>
      <c r="J311" s="21">
        <f>IF(D311-I311&lt;=Alíquotas!$G$5, 0, IF(D311-I311&lt;=Alíquotas!$G$6, D311*Alíquotas!$H$6, IF(D311-I311&lt;=Alíquotas!$G$7, D311*Alíquotas!$H$7, IF(D311-I311&lt;=Alíquotas!$G$8, D311*Alíquotas!$H$8, D311*Alíquotas!$H$9))))</f>
        <v>0</v>
      </c>
      <c r="K311" s="21">
        <f t="shared" si="41"/>
        <v>0</v>
      </c>
      <c r="L311" s="21">
        <f t="shared" si="42"/>
        <v>0</v>
      </c>
      <c r="M311" s="21">
        <f t="shared" si="37"/>
        <v>0</v>
      </c>
      <c r="N311" s="21">
        <f t="shared" si="39"/>
        <v>0</v>
      </c>
      <c r="O311" s="21">
        <f t="shared" si="38"/>
        <v>0</v>
      </c>
    </row>
    <row r="312" spans="1:15" x14ac:dyDescent="0.25">
      <c r="A312" s="19"/>
      <c r="B312" s="20"/>
      <c r="C312" s="20"/>
      <c r="D312" s="21"/>
      <c r="E312" s="31"/>
      <c r="F312" s="21">
        <f t="shared" si="40"/>
        <v>0</v>
      </c>
      <c r="G312" s="31"/>
      <c r="H312" s="21">
        <f t="shared" si="36"/>
        <v>0</v>
      </c>
      <c r="I312" s="21">
        <f>IF(D312&lt;=Alíquotas!$B$5,D312*Alíquotas!$C$5,IF(D312&lt;=Alíquotas!$B$6,D312*Alíquotas!$C$6,D312*Alíquotas!$C$7))</f>
        <v>0</v>
      </c>
      <c r="J312" s="21">
        <f>IF(D312-I312&lt;=Alíquotas!$G$5, 0, IF(D312-I312&lt;=Alíquotas!$G$6, D312*Alíquotas!$H$6, IF(D312-I312&lt;=Alíquotas!$G$7, D312*Alíquotas!$H$7, IF(D312-I312&lt;=Alíquotas!$G$8, D312*Alíquotas!$H$8, D312*Alíquotas!$H$9))))</f>
        <v>0</v>
      </c>
      <c r="K312" s="21">
        <f t="shared" si="41"/>
        <v>0</v>
      </c>
      <c r="L312" s="21">
        <f t="shared" si="42"/>
        <v>0</v>
      </c>
      <c r="M312" s="21">
        <f t="shared" si="37"/>
        <v>0</v>
      </c>
      <c r="N312" s="21">
        <f t="shared" si="39"/>
        <v>0</v>
      </c>
      <c r="O312" s="21">
        <f t="shared" si="38"/>
        <v>0</v>
      </c>
    </row>
    <row r="313" spans="1:15" x14ac:dyDescent="0.25">
      <c r="A313" s="19"/>
      <c r="B313" s="20"/>
      <c r="C313" s="20"/>
      <c r="D313" s="21"/>
      <c r="E313" s="31"/>
      <c r="F313" s="21">
        <f t="shared" si="40"/>
        <v>0</v>
      </c>
      <c r="G313" s="31"/>
      <c r="H313" s="21">
        <f t="shared" si="36"/>
        <v>0</v>
      </c>
      <c r="I313" s="21">
        <f>IF(D313&lt;=Alíquotas!$B$5,D313*Alíquotas!$C$5,IF(D313&lt;=Alíquotas!$B$6,D313*Alíquotas!$C$6,D313*Alíquotas!$C$7))</f>
        <v>0</v>
      </c>
      <c r="J313" s="21">
        <f>IF(D313-I313&lt;=Alíquotas!$G$5, 0, IF(D313-I313&lt;=Alíquotas!$G$6, D313*Alíquotas!$H$6, IF(D313-I313&lt;=Alíquotas!$G$7, D313*Alíquotas!$H$7, IF(D313-I313&lt;=Alíquotas!$G$8, D313*Alíquotas!$H$8, D313*Alíquotas!$H$9))))</f>
        <v>0</v>
      </c>
      <c r="K313" s="21">
        <f t="shared" si="41"/>
        <v>0</v>
      </c>
      <c r="L313" s="21">
        <f t="shared" si="42"/>
        <v>0</v>
      </c>
      <c r="M313" s="21">
        <f t="shared" si="37"/>
        <v>0</v>
      </c>
      <c r="N313" s="21">
        <f t="shared" si="39"/>
        <v>0</v>
      </c>
      <c r="O313" s="21">
        <f t="shared" si="38"/>
        <v>0</v>
      </c>
    </row>
    <row r="314" spans="1:15" x14ac:dyDescent="0.25">
      <c r="A314" s="19"/>
      <c r="B314" s="20"/>
      <c r="C314" s="20"/>
      <c r="D314" s="21"/>
      <c r="E314" s="31"/>
      <c r="F314" s="21">
        <f t="shared" si="40"/>
        <v>0</v>
      </c>
      <c r="G314" s="31"/>
      <c r="H314" s="21">
        <f t="shared" si="36"/>
        <v>0</v>
      </c>
      <c r="I314" s="21">
        <f>IF(D314&lt;=Alíquotas!$B$5,D314*Alíquotas!$C$5,IF(D314&lt;=Alíquotas!$B$6,D314*Alíquotas!$C$6,D314*Alíquotas!$C$7))</f>
        <v>0</v>
      </c>
      <c r="J314" s="21">
        <f>IF(D314-I314&lt;=Alíquotas!$G$5, 0, IF(D314-I314&lt;=Alíquotas!$G$6, D314*Alíquotas!$H$6, IF(D314-I314&lt;=Alíquotas!$G$7, D314*Alíquotas!$H$7, IF(D314-I314&lt;=Alíquotas!$G$8, D314*Alíquotas!$H$8, D314*Alíquotas!$H$9))))</f>
        <v>0</v>
      </c>
      <c r="K314" s="21">
        <f t="shared" si="41"/>
        <v>0</v>
      </c>
      <c r="L314" s="21">
        <f t="shared" si="42"/>
        <v>0</v>
      </c>
      <c r="M314" s="21">
        <f t="shared" si="37"/>
        <v>0</v>
      </c>
      <c r="N314" s="21">
        <f t="shared" si="39"/>
        <v>0</v>
      </c>
      <c r="O314" s="21">
        <f t="shared" si="38"/>
        <v>0</v>
      </c>
    </row>
    <row r="315" spans="1:15" x14ac:dyDescent="0.25">
      <c r="A315" s="19"/>
      <c r="B315" s="20"/>
      <c r="C315" s="20"/>
      <c r="D315" s="21"/>
      <c r="E315" s="31"/>
      <c r="F315" s="21">
        <f t="shared" si="40"/>
        <v>0</v>
      </c>
      <c r="G315" s="31"/>
      <c r="H315" s="21">
        <f t="shared" si="36"/>
        <v>0</v>
      </c>
      <c r="I315" s="21">
        <f>IF(D315&lt;=Alíquotas!$B$5,D315*Alíquotas!$C$5,IF(D315&lt;=Alíquotas!$B$6,D315*Alíquotas!$C$6,D315*Alíquotas!$C$7))</f>
        <v>0</v>
      </c>
      <c r="J315" s="21">
        <f>IF(D315-I315&lt;=Alíquotas!$G$5, 0, IF(D315-I315&lt;=Alíquotas!$G$6, D315*Alíquotas!$H$6, IF(D315-I315&lt;=Alíquotas!$G$7, D315*Alíquotas!$H$7, IF(D315-I315&lt;=Alíquotas!$G$8, D315*Alíquotas!$H$8, D315*Alíquotas!$H$9))))</f>
        <v>0</v>
      </c>
      <c r="K315" s="21">
        <f t="shared" si="41"/>
        <v>0</v>
      </c>
      <c r="L315" s="21">
        <f t="shared" si="42"/>
        <v>0</v>
      </c>
      <c r="M315" s="21">
        <f t="shared" si="37"/>
        <v>0</v>
      </c>
      <c r="N315" s="21">
        <f t="shared" si="39"/>
        <v>0</v>
      </c>
      <c r="O315" s="21">
        <f t="shared" si="38"/>
        <v>0</v>
      </c>
    </row>
    <row r="316" spans="1:15" x14ac:dyDescent="0.25">
      <c r="A316" s="19"/>
      <c r="B316" s="20"/>
      <c r="C316" s="20"/>
      <c r="D316" s="21"/>
      <c r="E316" s="31"/>
      <c r="F316" s="21">
        <f t="shared" si="40"/>
        <v>0</v>
      </c>
      <c r="G316" s="31"/>
      <c r="H316" s="21">
        <f t="shared" si="36"/>
        <v>0</v>
      </c>
      <c r="I316" s="21">
        <f>IF(D316&lt;=Alíquotas!$B$5,D316*Alíquotas!$C$5,IF(D316&lt;=Alíquotas!$B$6,D316*Alíquotas!$C$6,D316*Alíquotas!$C$7))</f>
        <v>0</v>
      </c>
      <c r="J316" s="21">
        <f>IF(D316-I316&lt;=Alíquotas!$G$5, 0, IF(D316-I316&lt;=Alíquotas!$G$6, D316*Alíquotas!$H$6, IF(D316-I316&lt;=Alíquotas!$G$7, D316*Alíquotas!$H$7, IF(D316-I316&lt;=Alíquotas!$G$8, D316*Alíquotas!$H$8, D316*Alíquotas!$H$9))))</f>
        <v>0</v>
      </c>
      <c r="K316" s="21">
        <f t="shared" si="41"/>
        <v>0</v>
      </c>
      <c r="L316" s="21">
        <f t="shared" si="42"/>
        <v>0</v>
      </c>
      <c r="M316" s="21">
        <f t="shared" si="37"/>
        <v>0</v>
      </c>
      <c r="N316" s="21">
        <f t="shared" si="39"/>
        <v>0</v>
      </c>
      <c r="O316" s="21">
        <f t="shared" si="38"/>
        <v>0</v>
      </c>
    </row>
    <row r="317" spans="1:15" x14ac:dyDescent="0.25">
      <c r="A317" s="19"/>
      <c r="B317" s="20"/>
      <c r="C317" s="20"/>
      <c r="D317" s="21"/>
      <c r="E317" s="31"/>
      <c r="F317" s="21">
        <f t="shared" si="40"/>
        <v>0</v>
      </c>
      <c r="G317" s="31"/>
      <c r="H317" s="21">
        <f t="shared" si="36"/>
        <v>0</v>
      </c>
      <c r="I317" s="21">
        <f>IF(D317&lt;=Alíquotas!$B$5,D317*Alíquotas!$C$5,IF(D317&lt;=Alíquotas!$B$6,D317*Alíquotas!$C$6,D317*Alíquotas!$C$7))</f>
        <v>0</v>
      </c>
      <c r="J317" s="21">
        <f>IF(D317-I317&lt;=Alíquotas!$G$5, 0, IF(D317-I317&lt;=Alíquotas!$G$6, D317*Alíquotas!$H$6, IF(D317-I317&lt;=Alíquotas!$G$7, D317*Alíquotas!$H$7, IF(D317-I317&lt;=Alíquotas!$G$8, D317*Alíquotas!$H$8, D317*Alíquotas!$H$9))))</f>
        <v>0</v>
      </c>
      <c r="K317" s="21">
        <f t="shared" si="41"/>
        <v>0</v>
      </c>
      <c r="L317" s="21">
        <f t="shared" si="42"/>
        <v>0</v>
      </c>
      <c r="M317" s="21">
        <f t="shared" si="37"/>
        <v>0</v>
      </c>
      <c r="N317" s="21">
        <f t="shared" si="39"/>
        <v>0</v>
      </c>
      <c r="O317" s="21">
        <f t="shared" si="38"/>
        <v>0</v>
      </c>
    </row>
    <row r="318" spans="1:15" x14ac:dyDescent="0.25">
      <c r="A318" s="19"/>
      <c r="B318" s="20"/>
      <c r="C318" s="20"/>
      <c r="D318" s="21"/>
      <c r="E318" s="31"/>
      <c r="F318" s="21">
        <f t="shared" si="40"/>
        <v>0</v>
      </c>
      <c r="G318" s="31"/>
      <c r="H318" s="21">
        <f t="shared" si="36"/>
        <v>0</v>
      </c>
      <c r="I318" s="21">
        <f>IF(D318&lt;=Alíquotas!$B$5,D318*Alíquotas!$C$5,IF(D318&lt;=Alíquotas!$B$6,D318*Alíquotas!$C$6,D318*Alíquotas!$C$7))</f>
        <v>0</v>
      </c>
      <c r="J318" s="21">
        <f>IF(D318-I318&lt;=Alíquotas!$G$5, 0, IF(D318-I318&lt;=Alíquotas!$G$6, D318*Alíquotas!$H$6, IF(D318-I318&lt;=Alíquotas!$G$7, D318*Alíquotas!$H$7, IF(D318-I318&lt;=Alíquotas!$G$8, D318*Alíquotas!$H$8, D318*Alíquotas!$H$9))))</f>
        <v>0</v>
      </c>
      <c r="K318" s="21">
        <f t="shared" si="41"/>
        <v>0</v>
      </c>
      <c r="L318" s="21">
        <f t="shared" si="42"/>
        <v>0</v>
      </c>
      <c r="M318" s="21">
        <f t="shared" si="37"/>
        <v>0</v>
      </c>
      <c r="N318" s="21">
        <f t="shared" si="39"/>
        <v>0</v>
      </c>
      <c r="O318" s="21">
        <f t="shared" si="38"/>
        <v>0</v>
      </c>
    </row>
    <row r="319" spans="1:15" x14ac:dyDescent="0.25">
      <c r="A319" s="19"/>
      <c r="B319" s="20"/>
      <c r="C319" s="20"/>
      <c r="D319" s="21"/>
      <c r="E319" s="31"/>
      <c r="F319" s="21">
        <f t="shared" si="40"/>
        <v>0</v>
      </c>
      <c r="G319" s="31"/>
      <c r="H319" s="21">
        <f t="shared" si="36"/>
        <v>0</v>
      </c>
      <c r="I319" s="21">
        <f>IF(D319&lt;=Alíquotas!$B$5,D319*Alíquotas!$C$5,IF(D319&lt;=Alíquotas!$B$6,D319*Alíquotas!$C$6,D319*Alíquotas!$C$7))</f>
        <v>0</v>
      </c>
      <c r="J319" s="21">
        <f>IF(D319-I319&lt;=Alíquotas!$G$5, 0, IF(D319-I319&lt;=Alíquotas!$G$6, D319*Alíquotas!$H$6, IF(D319-I319&lt;=Alíquotas!$G$7, D319*Alíquotas!$H$7, IF(D319-I319&lt;=Alíquotas!$G$8, D319*Alíquotas!$H$8, D319*Alíquotas!$H$9))))</f>
        <v>0</v>
      </c>
      <c r="K319" s="21">
        <f t="shared" si="41"/>
        <v>0</v>
      </c>
      <c r="L319" s="21">
        <f t="shared" si="42"/>
        <v>0</v>
      </c>
      <c r="M319" s="21">
        <f t="shared" si="37"/>
        <v>0</v>
      </c>
      <c r="N319" s="21">
        <f t="shared" si="39"/>
        <v>0</v>
      </c>
      <c r="O319" s="21">
        <f t="shared" si="38"/>
        <v>0</v>
      </c>
    </row>
    <row r="320" spans="1:15" x14ac:dyDescent="0.25">
      <c r="A320" s="19"/>
      <c r="B320" s="20"/>
      <c r="C320" s="20"/>
      <c r="D320" s="21"/>
      <c r="E320" s="31"/>
      <c r="F320" s="21">
        <f t="shared" si="40"/>
        <v>0</v>
      </c>
      <c r="G320" s="31"/>
      <c r="H320" s="21">
        <f t="shared" si="36"/>
        <v>0</v>
      </c>
      <c r="I320" s="21">
        <f>IF(D320&lt;=Alíquotas!$B$5,D320*Alíquotas!$C$5,IF(D320&lt;=Alíquotas!$B$6,D320*Alíquotas!$C$6,D320*Alíquotas!$C$7))</f>
        <v>0</v>
      </c>
      <c r="J320" s="21">
        <f>IF(D320-I320&lt;=Alíquotas!$G$5, 0, IF(D320-I320&lt;=Alíquotas!$G$6, D320*Alíquotas!$H$6, IF(D320-I320&lt;=Alíquotas!$G$7, D320*Alíquotas!$H$7, IF(D320-I320&lt;=Alíquotas!$G$8, D320*Alíquotas!$H$8, D320*Alíquotas!$H$9))))</f>
        <v>0</v>
      </c>
      <c r="K320" s="21">
        <f t="shared" si="41"/>
        <v>0</v>
      </c>
      <c r="L320" s="21">
        <f t="shared" si="42"/>
        <v>0</v>
      </c>
      <c r="M320" s="21">
        <f t="shared" si="37"/>
        <v>0</v>
      </c>
      <c r="N320" s="21">
        <f t="shared" si="39"/>
        <v>0</v>
      </c>
      <c r="O320" s="21">
        <f t="shared" si="38"/>
        <v>0</v>
      </c>
    </row>
    <row r="321" spans="1:15" x14ac:dyDescent="0.25">
      <c r="A321" s="19"/>
      <c r="B321" s="20"/>
      <c r="C321" s="20"/>
      <c r="D321" s="21"/>
      <c r="E321" s="31"/>
      <c r="F321" s="21">
        <f t="shared" si="40"/>
        <v>0</v>
      </c>
      <c r="G321" s="31"/>
      <c r="H321" s="21">
        <f t="shared" si="36"/>
        <v>0</v>
      </c>
      <c r="I321" s="21">
        <f>IF(D321&lt;=Alíquotas!$B$5,D321*Alíquotas!$C$5,IF(D321&lt;=Alíquotas!$B$6,D321*Alíquotas!$C$6,D321*Alíquotas!$C$7))</f>
        <v>0</v>
      </c>
      <c r="J321" s="21">
        <f>IF(D321-I321&lt;=Alíquotas!$G$5, 0, IF(D321-I321&lt;=Alíquotas!$G$6, D321*Alíquotas!$H$6, IF(D321-I321&lt;=Alíquotas!$G$7, D321*Alíquotas!$H$7, IF(D321-I321&lt;=Alíquotas!$G$8, D321*Alíquotas!$H$8, D321*Alíquotas!$H$9))))</f>
        <v>0</v>
      </c>
      <c r="K321" s="21">
        <f t="shared" si="41"/>
        <v>0</v>
      </c>
      <c r="L321" s="21">
        <f t="shared" si="42"/>
        <v>0</v>
      </c>
      <c r="M321" s="21">
        <f t="shared" si="37"/>
        <v>0</v>
      </c>
      <c r="N321" s="21">
        <f t="shared" si="39"/>
        <v>0</v>
      </c>
      <c r="O321" s="21">
        <f t="shared" si="38"/>
        <v>0</v>
      </c>
    </row>
    <row r="322" spans="1:15" x14ac:dyDescent="0.25">
      <c r="A322" s="19"/>
      <c r="B322" s="20"/>
      <c r="C322" s="20"/>
      <c r="D322" s="21"/>
      <c r="E322" s="31"/>
      <c r="F322" s="21">
        <f t="shared" si="40"/>
        <v>0</v>
      </c>
      <c r="G322" s="31"/>
      <c r="H322" s="21">
        <f t="shared" si="36"/>
        <v>0</v>
      </c>
      <c r="I322" s="21">
        <f>IF(D322&lt;=Alíquotas!$B$5,D322*Alíquotas!$C$5,IF(D322&lt;=Alíquotas!$B$6,D322*Alíquotas!$C$6,D322*Alíquotas!$C$7))</f>
        <v>0</v>
      </c>
      <c r="J322" s="21">
        <f>IF(D322-I322&lt;=Alíquotas!$G$5, 0, IF(D322-I322&lt;=Alíquotas!$G$6, D322*Alíquotas!$H$6, IF(D322-I322&lt;=Alíquotas!$G$7, D322*Alíquotas!$H$7, IF(D322-I322&lt;=Alíquotas!$G$8, D322*Alíquotas!$H$8, D322*Alíquotas!$H$9))))</f>
        <v>0</v>
      </c>
      <c r="K322" s="21">
        <f t="shared" si="41"/>
        <v>0</v>
      </c>
      <c r="L322" s="21">
        <f t="shared" si="42"/>
        <v>0</v>
      </c>
      <c r="M322" s="21">
        <f t="shared" si="37"/>
        <v>0</v>
      </c>
      <c r="N322" s="21">
        <f t="shared" si="39"/>
        <v>0</v>
      </c>
      <c r="O322" s="21">
        <f t="shared" si="38"/>
        <v>0</v>
      </c>
    </row>
    <row r="323" spans="1:15" x14ac:dyDescent="0.25">
      <c r="A323" s="19"/>
      <c r="B323" s="20"/>
      <c r="C323" s="20"/>
      <c r="D323" s="21"/>
      <c r="E323" s="31"/>
      <c r="F323" s="21">
        <f t="shared" si="40"/>
        <v>0</v>
      </c>
      <c r="G323" s="31"/>
      <c r="H323" s="21">
        <f t="shared" si="36"/>
        <v>0</v>
      </c>
      <c r="I323" s="21">
        <f>IF(D323&lt;=Alíquotas!$B$5,D323*Alíquotas!$C$5,IF(D323&lt;=Alíquotas!$B$6,D323*Alíquotas!$C$6,D323*Alíquotas!$C$7))</f>
        <v>0</v>
      </c>
      <c r="J323" s="21">
        <f>IF(D323-I323&lt;=Alíquotas!$G$5, 0, IF(D323-I323&lt;=Alíquotas!$G$6, D323*Alíquotas!$H$6, IF(D323-I323&lt;=Alíquotas!$G$7, D323*Alíquotas!$H$7, IF(D323-I323&lt;=Alíquotas!$G$8, D323*Alíquotas!$H$8, D323*Alíquotas!$H$9))))</f>
        <v>0</v>
      </c>
      <c r="K323" s="21">
        <f t="shared" si="41"/>
        <v>0</v>
      </c>
      <c r="L323" s="21">
        <f t="shared" si="42"/>
        <v>0</v>
      </c>
      <c r="M323" s="21">
        <f t="shared" si="37"/>
        <v>0</v>
      </c>
      <c r="N323" s="21">
        <f t="shared" si="39"/>
        <v>0</v>
      </c>
      <c r="O323" s="21">
        <f t="shared" si="38"/>
        <v>0</v>
      </c>
    </row>
    <row r="324" spans="1:15" x14ac:dyDescent="0.25">
      <c r="A324" s="19"/>
      <c r="B324" s="20"/>
      <c r="C324" s="20"/>
      <c r="D324" s="21"/>
      <c r="E324" s="31"/>
      <c r="F324" s="21">
        <f t="shared" si="40"/>
        <v>0</v>
      </c>
      <c r="G324" s="31"/>
      <c r="H324" s="21">
        <f t="shared" si="36"/>
        <v>0</v>
      </c>
      <c r="I324" s="21">
        <f>IF(D324&lt;=Alíquotas!$B$5,D324*Alíquotas!$C$5,IF(D324&lt;=Alíquotas!$B$6,D324*Alíquotas!$C$6,D324*Alíquotas!$C$7))</f>
        <v>0</v>
      </c>
      <c r="J324" s="21">
        <f>IF(D324-I324&lt;=Alíquotas!$G$5, 0, IF(D324-I324&lt;=Alíquotas!$G$6, D324*Alíquotas!$H$6, IF(D324-I324&lt;=Alíquotas!$G$7, D324*Alíquotas!$H$7, IF(D324-I324&lt;=Alíquotas!$G$8, D324*Alíquotas!$H$8, D324*Alíquotas!$H$9))))</f>
        <v>0</v>
      </c>
      <c r="K324" s="21">
        <f t="shared" si="41"/>
        <v>0</v>
      </c>
      <c r="L324" s="21">
        <f t="shared" si="42"/>
        <v>0</v>
      </c>
      <c r="M324" s="21">
        <f t="shared" si="37"/>
        <v>0</v>
      </c>
      <c r="N324" s="21">
        <f t="shared" si="39"/>
        <v>0</v>
      </c>
      <c r="O324" s="21">
        <f t="shared" si="38"/>
        <v>0</v>
      </c>
    </row>
    <row r="325" spans="1:15" x14ac:dyDescent="0.25">
      <c r="A325" s="19"/>
      <c r="B325" s="20"/>
      <c r="C325" s="20"/>
      <c r="D325" s="21"/>
      <c r="E325" s="31"/>
      <c r="F325" s="21">
        <f t="shared" si="40"/>
        <v>0</v>
      </c>
      <c r="G325" s="31"/>
      <c r="H325" s="21">
        <f t="shared" si="36"/>
        <v>0</v>
      </c>
      <c r="I325" s="21">
        <f>IF(D325&lt;=Alíquotas!$B$5,D325*Alíquotas!$C$5,IF(D325&lt;=Alíquotas!$B$6,D325*Alíquotas!$C$6,D325*Alíquotas!$C$7))</f>
        <v>0</v>
      </c>
      <c r="J325" s="21">
        <f>IF(D325-I325&lt;=Alíquotas!$G$5, 0, IF(D325-I325&lt;=Alíquotas!$G$6, D325*Alíquotas!$H$6, IF(D325-I325&lt;=Alíquotas!$G$7, D325*Alíquotas!$H$7, IF(D325-I325&lt;=Alíquotas!$G$8, D325*Alíquotas!$H$8, D325*Alíquotas!$H$9))))</f>
        <v>0</v>
      </c>
      <c r="K325" s="21">
        <f t="shared" si="41"/>
        <v>0</v>
      </c>
      <c r="L325" s="21">
        <f t="shared" si="42"/>
        <v>0</v>
      </c>
      <c r="M325" s="21">
        <f t="shared" si="37"/>
        <v>0</v>
      </c>
      <c r="N325" s="21">
        <f t="shared" si="39"/>
        <v>0</v>
      </c>
      <c r="O325" s="21">
        <f t="shared" si="38"/>
        <v>0</v>
      </c>
    </row>
    <row r="326" spans="1:15" x14ac:dyDescent="0.25">
      <c r="A326" s="19"/>
      <c r="B326" s="20"/>
      <c r="C326" s="20"/>
      <c r="D326" s="21"/>
      <c r="E326" s="31"/>
      <c r="F326" s="21">
        <f t="shared" si="40"/>
        <v>0</v>
      </c>
      <c r="G326" s="31"/>
      <c r="H326" s="21">
        <f t="shared" si="36"/>
        <v>0</v>
      </c>
      <c r="I326" s="21">
        <f>IF(D326&lt;=Alíquotas!$B$5,D326*Alíquotas!$C$5,IF(D326&lt;=Alíquotas!$B$6,D326*Alíquotas!$C$6,D326*Alíquotas!$C$7))</f>
        <v>0</v>
      </c>
      <c r="J326" s="21">
        <f>IF(D326-I326&lt;=Alíquotas!$G$5, 0, IF(D326-I326&lt;=Alíquotas!$G$6, D326*Alíquotas!$H$6, IF(D326-I326&lt;=Alíquotas!$G$7, D326*Alíquotas!$H$7, IF(D326-I326&lt;=Alíquotas!$G$8, D326*Alíquotas!$H$8, D326*Alíquotas!$H$9))))</f>
        <v>0</v>
      </c>
      <c r="K326" s="21">
        <f t="shared" si="41"/>
        <v>0</v>
      </c>
      <c r="L326" s="21">
        <f t="shared" si="42"/>
        <v>0</v>
      </c>
      <c r="M326" s="21">
        <f t="shared" si="37"/>
        <v>0</v>
      </c>
      <c r="N326" s="21">
        <f t="shared" si="39"/>
        <v>0</v>
      </c>
      <c r="O326" s="21">
        <f t="shared" si="38"/>
        <v>0</v>
      </c>
    </row>
    <row r="327" spans="1:15" x14ac:dyDescent="0.25">
      <c r="A327" s="19"/>
      <c r="B327" s="20"/>
      <c r="C327" s="20"/>
      <c r="D327" s="21"/>
      <c r="E327" s="31"/>
      <c r="F327" s="21">
        <f t="shared" si="40"/>
        <v>0</v>
      </c>
      <c r="G327" s="31"/>
      <c r="H327" s="21">
        <f t="shared" si="36"/>
        <v>0</v>
      </c>
      <c r="I327" s="21">
        <f>IF(D327&lt;=Alíquotas!$B$5,D327*Alíquotas!$C$5,IF(D327&lt;=Alíquotas!$B$6,D327*Alíquotas!$C$6,D327*Alíquotas!$C$7))</f>
        <v>0</v>
      </c>
      <c r="J327" s="21">
        <f>IF(D327-I327&lt;=Alíquotas!$G$5, 0, IF(D327-I327&lt;=Alíquotas!$G$6, D327*Alíquotas!$H$6, IF(D327-I327&lt;=Alíquotas!$G$7, D327*Alíquotas!$H$7, IF(D327-I327&lt;=Alíquotas!$G$8, D327*Alíquotas!$H$8, D327*Alíquotas!$H$9))))</f>
        <v>0</v>
      </c>
      <c r="K327" s="21">
        <f t="shared" si="41"/>
        <v>0</v>
      </c>
      <c r="L327" s="21">
        <f t="shared" si="42"/>
        <v>0</v>
      </c>
      <c r="M327" s="21">
        <f t="shared" si="37"/>
        <v>0</v>
      </c>
      <c r="N327" s="21">
        <f t="shared" si="39"/>
        <v>0</v>
      </c>
      <c r="O327" s="21">
        <f t="shared" si="38"/>
        <v>0</v>
      </c>
    </row>
    <row r="328" spans="1:15" x14ac:dyDescent="0.25">
      <c r="A328" s="19"/>
      <c r="B328" s="20"/>
      <c r="C328" s="20"/>
      <c r="D328" s="21"/>
      <c r="E328" s="31"/>
      <c r="F328" s="21">
        <f t="shared" si="40"/>
        <v>0</v>
      </c>
      <c r="G328" s="31"/>
      <c r="H328" s="21">
        <f t="shared" ref="H328:H364" si="43">ATRASO($D328,$G328)</f>
        <v>0</v>
      </c>
      <c r="I328" s="21">
        <f>IF(D328&lt;=Alíquotas!$B$5,D328*Alíquotas!$C$5,IF(D328&lt;=Alíquotas!$B$6,D328*Alíquotas!$C$6,D328*Alíquotas!$C$7))</f>
        <v>0</v>
      </c>
      <c r="J328" s="21">
        <f>IF(D328-I328&lt;=Alíquotas!$G$5, 0, IF(D328-I328&lt;=Alíquotas!$G$6, D328*Alíquotas!$H$6, IF(D328-I328&lt;=Alíquotas!$G$7, D328*Alíquotas!$H$7, IF(D328-I328&lt;=Alíquotas!$G$8, D328*Alíquotas!$H$8, D328*Alíquotas!$H$9))))</f>
        <v>0</v>
      </c>
      <c r="K328" s="21">
        <f t="shared" si="41"/>
        <v>0</v>
      </c>
      <c r="L328" s="21">
        <f t="shared" si="42"/>
        <v>0</v>
      </c>
      <c r="M328" s="21">
        <f t="shared" ref="M328:M364" si="44">DECIMO_TERCEIRO($D328)</f>
        <v>0</v>
      </c>
      <c r="N328" s="21">
        <f t="shared" si="39"/>
        <v>0</v>
      </c>
      <c r="O328" s="21">
        <f t="shared" ref="O328:O364" si="45">PROP_FERIAS($D328)</f>
        <v>0</v>
      </c>
    </row>
    <row r="329" spans="1:15" x14ac:dyDescent="0.25">
      <c r="A329" s="19"/>
      <c r="B329" s="20"/>
      <c r="C329" s="20"/>
      <c r="D329" s="21"/>
      <c r="E329" s="31"/>
      <c r="F329" s="21">
        <f t="shared" si="40"/>
        <v>0</v>
      </c>
      <c r="G329" s="31"/>
      <c r="H329" s="21">
        <f t="shared" si="43"/>
        <v>0</v>
      </c>
      <c r="I329" s="21">
        <f>IF(D329&lt;=Alíquotas!$B$5,D329*Alíquotas!$C$5,IF(D329&lt;=Alíquotas!$B$6,D329*Alíquotas!$C$6,D329*Alíquotas!$C$7))</f>
        <v>0</v>
      </c>
      <c r="J329" s="21">
        <f>IF(D329-I329&lt;=Alíquotas!$G$5, 0, IF(D329-I329&lt;=Alíquotas!$G$6, D329*Alíquotas!$H$6, IF(D329-I329&lt;=Alíquotas!$G$7, D329*Alíquotas!$H$7, IF(D329-I329&lt;=Alíquotas!$G$8, D329*Alíquotas!$H$8, D329*Alíquotas!$H$9))))</f>
        <v>0</v>
      </c>
      <c r="K329" s="21">
        <f t="shared" si="41"/>
        <v>0</v>
      </c>
      <c r="L329" s="21">
        <f t="shared" si="42"/>
        <v>0</v>
      </c>
      <c r="M329" s="21">
        <f t="shared" si="44"/>
        <v>0</v>
      </c>
      <c r="N329" s="21">
        <f t="shared" si="39"/>
        <v>0</v>
      </c>
      <c r="O329" s="21">
        <f t="shared" si="45"/>
        <v>0</v>
      </c>
    </row>
    <row r="330" spans="1:15" x14ac:dyDescent="0.25">
      <c r="A330" s="19"/>
      <c r="B330" s="20"/>
      <c r="C330" s="20"/>
      <c r="D330" s="21"/>
      <c r="E330" s="31"/>
      <c r="F330" s="21">
        <f t="shared" si="40"/>
        <v>0</v>
      </c>
      <c r="G330" s="31"/>
      <c r="H330" s="21">
        <f t="shared" si="43"/>
        <v>0</v>
      </c>
      <c r="I330" s="21">
        <f>IF(D330&lt;=Alíquotas!$B$5,D330*Alíquotas!$C$5,IF(D330&lt;=Alíquotas!$B$6,D330*Alíquotas!$C$6,D330*Alíquotas!$C$7))</f>
        <v>0</v>
      </c>
      <c r="J330" s="21">
        <f>IF(D330-I330&lt;=Alíquotas!$G$5, 0, IF(D330-I330&lt;=Alíquotas!$G$6, D330*Alíquotas!$H$6, IF(D330-I330&lt;=Alíquotas!$G$7, D330*Alíquotas!$H$7, IF(D330-I330&lt;=Alíquotas!$G$8, D330*Alíquotas!$H$8, D330*Alíquotas!$H$9))))</f>
        <v>0</v>
      </c>
      <c r="K330" s="21">
        <f t="shared" si="41"/>
        <v>0</v>
      </c>
      <c r="L330" s="21">
        <f t="shared" si="42"/>
        <v>0</v>
      </c>
      <c r="M330" s="21">
        <f t="shared" si="44"/>
        <v>0</v>
      </c>
      <c r="N330" s="21">
        <f t="shared" si="39"/>
        <v>0</v>
      </c>
      <c r="O330" s="21">
        <f t="shared" si="45"/>
        <v>0</v>
      </c>
    </row>
    <row r="331" spans="1:15" x14ac:dyDescent="0.25">
      <c r="A331" s="19"/>
      <c r="B331" s="20"/>
      <c r="C331" s="20"/>
      <c r="D331" s="21"/>
      <c r="E331" s="31"/>
      <c r="F331" s="21">
        <f t="shared" si="40"/>
        <v>0</v>
      </c>
      <c r="G331" s="31"/>
      <c r="H331" s="21">
        <f t="shared" si="43"/>
        <v>0</v>
      </c>
      <c r="I331" s="21">
        <f>IF(D331&lt;=Alíquotas!$B$5,D331*Alíquotas!$C$5,IF(D331&lt;=Alíquotas!$B$6,D331*Alíquotas!$C$6,D331*Alíquotas!$C$7))</f>
        <v>0</v>
      </c>
      <c r="J331" s="21">
        <f>IF(D331-I331&lt;=Alíquotas!$G$5, 0, IF(D331-I331&lt;=Alíquotas!$G$6, D331*Alíquotas!$H$6, IF(D331-I331&lt;=Alíquotas!$G$7, D331*Alíquotas!$H$7, IF(D331-I331&lt;=Alíquotas!$G$8, D331*Alíquotas!$H$8, D331*Alíquotas!$H$9))))</f>
        <v>0</v>
      </c>
      <c r="K331" s="21">
        <f t="shared" si="41"/>
        <v>0</v>
      </c>
      <c r="L331" s="21">
        <f t="shared" si="42"/>
        <v>0</v>
      </c>
      <c r="M331" s="21">
        <f t="shared" si="44"/>
        <v>0</v>
      </c>
      <c r="N331" s="21">
        <f t="shared" si="39"/>
        <v>0</v>
      </c>
      <c r="O331" s="21">
        <f t="shared" si="45"/>
        <v>0</v>
      </c>
    </row>
    <row r="332" spans="1:15" x14ac:dyDescent="0.25">
      <c r="A332" s="19"/>
      <c r="B332" s="20"/>
      <c r="C332" s="20"/>
      <c r="D332" s="21"/>
      <c r="E332" s="31"/>
      <c r="F332" s="21">
        <f t="shared" si="40"/>
        <v>0</v>
      </c>
      <c r="G332" s="31"/>
      <c r="H332" s="21">
        <f t="shared" si="43"/>
        <v>0</v>
      </c>
      <c r="I332" s="21">
        <f>IF(D332&lt;=Alíquotas!$B$5,D332*Alíquotas!$C$5,IF(D332&lt;=Alíquotas!$B$6,D332*Alíquotas!$C$6,D332*Alíquotas!$C$7))</f>
        <v>0</v>
      </c>
      <c r="J332" s="21">
        <f>IF(D332-I332&lt;=Alíquotas!$G$5, 0, IF(D332-I332&lt;=Alíquotas!$G$6, D332*Alíquotas!$H$6, IF(D332-I332&lt;=Alíquotas!$G$7, D332*Alíquotas!$H$7, IF(D332-I332&lt;=Alíquotas!$G$8, D332*Alíquotas!$H$8, D332*Alíquotas!$H$9))))</f>
        <v>0</v>
      </c>
      <c r="K332" s="21">
        <f t="shared" si="41"/>
        <v>0</v>
      </c>
      <c r="L332" s="21">
        <f t="shared" si="42"/>
        <v>0</v>
      </c>
      <c r="M332" s="21">
        <f t="shared" si="44"/>
        <v>0</v>
      </c>
      <c r="N332" s="21">
        <f t="shared" si="39"/>
        <v>0</v>
      </c>
      <c r="O332" s="21">
        <f t="shared" si="45"/>
        <v>0</v>
      </c>
    </row>
    <row r="333" spans="1:15" x14ac:dyDescent="0.25">
      <c r="A333" s="19"/>
      <c r="B333" s="20"/>
      <c r="C333" s="20"/>
      <c r="D333" s="21"/>
      <c r="E333" s="31"/>
      <c r="F333" s="21">
        <f t="shared" si="40"/>
        <v>0</v>
      </c>
      <c r="G333" s="31"/>
      <c r="H333" s="21">
        <f t="shared" si="43"/>
        <v>0</v>
      </c>
      <c r="I333" s="21">
        <f>IF(D333&lt;=Alíquotas!$B$5,D333*Alíquotas!$C$5,IF(D333&lt;=Alíquotas!$B$6,D333*Alíquotas!$C$6,D333*Alíquotas!$C$7))</f>
        <v>0</v>
      </c>
      <c r="J333" s="21">
        <f>IF(D333-I333&lt;=Alíquotas!$G$5, 0, IF(D333-I333&lt;=Alíquotas!$G$6, D333*Alíquotas!$H$6, IF(D333-I333&lt;=Alíquotas!$G$7, D333*Alíquotas!$H$7, IF(D333-I333&lt;=Alíquotas!$G$8, D333*Alíquotas!$H$8, D333*Alíquotas!$H$9))))</f>
        <v>0</v>
      </c>
      <c r="K333" s="21">
        <f t="shared" si="41"/>
        <v>0</v>
      </c>
      <c r="L333" s="21">
        <f t="shared" si="42"/>
        <v>0</v>
      </c>
      <c r="M333" s="21">
        <f t="shared" si="44"/>
        <v>0</v>
      </c>
      <c r="N333" s="21">
        <f t="shared" si="39"/>
        <v>0</v>
      </c>
      <c r="O333" s="21">
        <f t="shared" si="45"/>
        <v>0</v>
      </c>
    </row>
    <row r="334" spans="1:15" x14ac:dyDescent="0.25">
      <c r="A334" s="19"/>
      <c r="B334" s="20"/>
      <c r="C334" s="20"/>
      <c r="D334" s="21"/>
      <c r="E334" s="31"/>
      <c r="F334" s="21">
        <f t="shared" si="40"/>
        <v>0</v>
      </c>
      <c r="G334" s="31"/>
      <c r="H334" s="21">
        <f t="shared" si="43"/>
        <v>0</v>
      </c>
      <c r="I334" s="21">
        <f>IF(D334&lt;=Alíquotas!$B$5,D334*Alíquotas!$C$5,IF(D334&lt;=Alíquotas!$B$6,D334*Alíquotas!$C$6,D334*Alíquotas!$C$7))</f>
        <v>0</v>
      </c>
      <c r="J334" s="21">
        <f>IF(D334-I334&lt;=Alíquotas!$G$5, 0, IF(D334-I334&lt;=Alíquotas!$G$6, D334*Alíquotas!$H$6, IF(D334-I334&lt;=Alíquotas!$G$7, D334*Alíquotas!$H$7, IF(D334-I334&lt;=Alíquotas!$G$8, D334*Alíquotas!$H$8, D334*Alíquotas!$H$9))))</f>
        <v>0</v>
      </c>
      <c r="K334" s="21">
        <f t="shared" si="41"/>
        <v>0</v>
      </c>
      <c r="L334" s="21">
        <f t="shared" si="42"/>
        <v>0</v>
      </c>
      <c r="M334" s="21">
        <f t="shared" si="44"/>
        <v>0</v>
      </c>
      <c r="N334" s="21">
        <f t="shared" si="39"/>
        <v>0</v>
      </c>
      <c r="O334" s="21">
        <f t="shared" si="45"/>
        <v>0</v>
      </c>
    </row>
    <row r="335" spans="1:15" x14ac:dyDescent="0.25">
      <c r="A335" s="19"/>
      <c r="B335" s="20"/>
      <c r="C335" s="20"/>
      <c r="D335" s="21"/>
      <c r="E335" s="31"/>
      <c r="F335" s="21">
        <f t="shared" si="40"/>
        <v>0</v>
      </c>
      <c r="G335" s="31"/>
      <c r="H335" s="21">
        <f t="shared" si="43"/>
        <v>0</v>
      </c>
      <c r="I335" s="21">
        <f>IF(D335&lt;=Alíquotas!$B$5,D335*Alíquotas!$C$5,IF(D335&lt;=Alíquotas!$B$6,D335*Alíquotas!$C$6,D335*Alíquotas!$C$7))</f>
        <v>0</v>
      </c>
      <c r="J335" s="21">
        <f>IF(D335-I335&lt;=Alíquotas!$G$5, 0, IF(D335-I335&lt;=Alíquotas!$G$6, D335*Alíquotas!$H$6, IF(D335-I335&lt;=Alíquotas!$G$7, D335*Alíquotas!$H$7, IF(D335-I335&lt;=Alíquotas!$G$8, D335*Alíquotas!$H$8, D335*Alíquotas!$H$9))))</f>
        <v>0</v>
      </c>
      <c r="K335" s="21">
        <f t="shared" si="41"/>
        <v>0</v>
      </c>
      <c r="L335" s="21">
        <f t="shared" si="42"/>
        <v>0</v>
      </c>
      <c r="M335" s="21">
        <f t="shared" si="44"/>
        <v>0</v>
      </c>
      <c r="N335" s="21">
        <f t="shared" si="39"/>
        <v>0</v>
      </c>
      <c r="O335" s="21">
        <f t="shared" si="45"/>
        <v>0</v>
      </c>
    </row>
    <row r="336" spans="1:15" x14ac:dyDescent="0.25">
      <c r="A336" s="19"/>
      <c r="B336" s="20"/>
      <c r="C336" s="20"/>
      <c r="D336" s="21"/>
      <c r="E336" s="31"/>
      <c r="F336" s="21">
        <f t="shared" si="40"/>
        <v>0</v>
      </c>
      <c r="G336" s="31"/>
      <c r="H336" s="21">
        <f t="shared" si="43"/>
        <v>0</v>
      </c>
      <c r="I336" s="21">
        <f>IF(D336&lt;=Alíquotas!$B$5,D336*Alíquotas!$C$5,IF(D336&lt;=Alíquotas!$B$6,D336*Alíquotas!$C$6,D336*Alíquotas!$C$7))</f>
        <v>0</v>
      </c>
      <c r="J336" s="21">
        <f>IF(D336-I336&lt;=Alíquotas!$G$5, 0, IF(D336-I336&lt;=Alíquotas!$G$6, D336*Alíquotas!$H$6, IF(D336-I336&lt;=Alíquotas!$G$7, D336*Alíquotas!$H$7, IF(D336-I336&lt;=Alíquotas!$G$8, D336*Alíquotas!$H$8, D336*Alíquotas!$H$9))))</f>
        <v>0</v>
      </c>
      <c r="K336" s="21">
        <f t="shared" si="41"/>
        <v>0</v>
      </c>
      <c r="L336" s="21">
        <f t="shared" si="42"/>
        <v>0</v>
      </c>
      <c r="M336" s="21">
        <f t="shared" si="44"/>
        <v>0</v>
      </c>
      <c r="N336" s="21">
        <f t="shared" si="39"/>
        <v>0</v>
      </c>
      <c r="O336" s="21">
        <f t="shared" si="45"/>
        <v>0</v>
      </c>
    </row>
    <row r="337" spans="1:15" x14ac:dyDescent="0.25">
      <c r="A337" s="19"/>
      <c r="B337" s="20"/>
      <c r="C337" s="20"/>
      <c r="D337" s="21"/>
      <c r="E337" s="31"/>
      <c r="F337" s="21">
        <f t="shared" si="40"/>
        <v>0</v>
      </c>
      <c r="G337" s="31"/>
      <c r="H337" s="21">
        <f t="shared" si="43"/>
        <v>0</v>
      </c>
      <c r="I337" s="21">
        <f>IF(D337&lt;=Alíquotas!$B$5,D337*Alíquotas!$C$5,IF(D337&lt;=Alíquotas!$B$6,D337*Alíquotas!$C$6,D337*Alíquotas!$C$7))</f>
        <v>0</v>
      </c>
      <c r="J337" s="21">
        <f>IF(D337-I337&lt;=Alíquotas!$G$5, 0, IF(D337-I337&lt;=Alíquotas!$G$6, D337*Alíquotas!$H$6, IF(D337-I337&lt;=Alíquotas!$G$7, D337*Alíquotas!$H$7, IF(D337-I337&lt;=Alíquotas!$G$8, D337*Alíquotas!$H$8, D337*Alíquotas!$H$9))))</f>
        <v>0</v>
      </c>
      <c r="K337" s="21">
        <f t="shared" si="41"/>
        <v>0</v>
      </c>
      <c r="L337" s="21">
        <f t="shared" si="42"/>
        <v>0</v>
      </c>
      <c r="M337" s="21">
        <f t="shared" si="44"/>
        <v>0</v>
      </c>
      <c r="N337" s="21">
        <f t="shared" si="39"/>
        <v>0</v>
      </c>
      <c r="O337" s="21">
        <f t="shared" si="45"/>
        <v>0</v>
      </c>
    </row>
    <row r="338" spans="1:15" x14ac:dyDescent="0.25">
      <c r="A338" s="19"/>
      <c r="B338" s="20"/>
      <c r="C338" s="20"/>
      <c r="D338" s="21"/>
      <c r="E338" s="31"/>
      <c r="F338" s="21">
        <f t="shared" si="40"/>
        <v>0</v>
      </c>
      <c r="G338" s="31"/>
      <c r="H338" s="21">
        <f t="shared" si="43"/>
        <v>0</v>
      </c>
      <c r="I338" s="21">
        <f>IF(D338&lt;=Alíquotas!$B$5,D338*Alíquotas!$C$5,IF(D338&lt;=Alíquotas!$B$6,D338*Alíquotas!$C$6,D338*Alíquotas!$C$7))</f>
        <v>0</v>
      </c>
      <c r="J338" s="21">
        <f>IF(D338-I338&lt;=Alíquotas!$G$5, 0, IF(D338-I338&lt;=Alíquotas!$G$6, D338*Alíquotas!$H$6, IF(D338-I338&lt;=Alíquotas!$G$7, D338*Alíquotas!$H$7, IF(D338-I338&lt;=Alíquotas!$G$8, D338*Alíquotas!$H$8, D338*Alíquotas!$H$9))))</f>
        <v>0</v>
      </c>
      <c r="K338" s="21">
        <f t="shared" si="41"/>
        <v>0</v>
      </c>
      <c r="L338" s="21">
        <f t="shared" si="42"/>
        <v>0</v>
      </c>
      <c r="M338" s="21">
        <f t="shared" si="44"/>
        <v>0</v>
      </c>
      <c r="N338" s="21">
        <f t="shared" si="39"/>
        <v>0</v>
      </c>
      <c r="O338" s="21">
        <f t="shared" si="45"/>
        <v>0</v>
      </c>
    </row>
    <row r="339" spans="1:15" x14ac:dyDescent="0.25">
      <c r="A339" s="19"/>
      <c r="B339" s="20"/>
      <c r="C339" s="20"/>
      <c r="D339" s="21"/>
      <c r="E339" s="31"/>
      <c r="F339" s="21">
        <f t="shared" si="40"/>
        <v>0</v>
      </c>
      <c r="G339" s="31"/>
      <c r="H339" s="21">
        <f t="shared" si="43"/>
        <v>0</v>
      </c>
      <c r="I339" s="21">
        <f>IF(D339&lt;=Alíquotas!$B$5,D339*Alíquotas!$C$5,IF(D339&lt;=Alíquotas!$B$6,D339*Alíquotas!$C$6,D339*Alíquotas!$C$7))</f>
        <v>0</v>
      </c>
      <c r="J339" s="21">
        <f>IF(D339-I339&lt;=Alíquotas!$G$5, 0, IF(D339-I339&lt;=Alíquotas!$G$6, D339*Alíquotas!$H$6, IF(D339-I339&lt;=Alíquotas!$G$7, D339*Alíquotas!$H$7, IF(D339-I339&lt;=Alíquotas!$G$8, D339*Alíquotas!$H$8, D339*Alíquotas!$H$9))))</f>
        <v>0</v>
      </c>
      <c r="K339" s="21">
        <f t="shared" si="41"/>
        <v>0</v>
      </c>
      <c r="L339" s="21">
        <f t="shared" si="42"/>
        <v>0</v>
      </c>
      <c r="M339" s="21">
        <f t="shared" si="44"/>
        <v>0</v>
      </c>
      <c r="N339" s="21">
        <f t="shared" si="39"/>
        <v>0</v>
      </c>
      <c r="O339" s="21">
        <f t="shared" si="45"/>
        <v>0</v>
      </c>
    </row>
    <row r="340" spans="1:15" x14ac:dyDescent="0.25">
      <c r="A340" s="19"/>
      <c r="B340" s="20"/>
      <c r="C340" s="20"/>
      <c r="D340" s="21"/>
      <c r="E340" s="31"/>
      <c r="F340" s="21">
        <f t="shared" si="40"/>
        <v>0</v>
      </c>
      <c r="G340" s="31"/>
      <c r="H340" s="21">
        <f t="shared" si="43"/>
        <v>0</v>
      </c>
      <c r="I340" s="21">
        <f>IF(D340&lt;=Alíquotas!$B$5,D340*Alíquotas!$C$5,IF(D340&lt;=Alíquotas!$B$6,D340*Alíquotas!$C$6,D340*Alíquotas!$C$7))</f>
        <v>0</v>
      </c>
      <c r="J340" s="21">
        <f>IF(D340-I340&lt;=Alíquotas!$G$5, 0, IF(D340-I340&lt;=Alíquotas!$G$6, D340*Alíquotas!$H$6, IF(D340-I340&lt;=Alíquotas!$G$7, D340*Alíquotas!$H$7, IF(D340-I340&lt;=Alíquotas!$G$8, D340*Alíquotas!$H$8, D340*Alíquotas!$H$9))))</f>
        <v>0</v>
      </c>
      <c r="K340" s="21">
        <f t="shared" si="41"/>
        <v>0</v>
      </c>
      <c r="L340" s="21">
        <f t="shared" si="42"/>
        <v>0</v>
      </c>
      <c r="M340" s="21">
        <f t="shared" si="44"/>
        <v>0</v>
      </c>
      <c r="N340" s="21">
        <f t="shared" si="39"/>
        <v>0</v>
      </c>
      <c r="O340" s="21">
        <f t="shared" si="45"/>
        <v>0</v>
      </c>
    </row>
    <row r="341" spans="1:15" x14ac:dyDescent="0.25">
      <c r="A341" s="19"/>
      <c r="B341" s="20"/>
      <c r="C341" s="20"/>
      <c r="D341" s="21"/>
      <c r="E341" s="31"/>
      <c r="F341" s="21">
        <f t="shared" si="40"/>
        <v>0</v>
      </c>
      <c r="G341" s="31"/>
      <c r="H341" s="21">
        <f t="shared" si="43"/>
        <v>0</v>
      </c>
      <c r="I341" s="21">
        <f>IF(D341&lt;=Alíquotas!$B$5,D341*Alíquotas!$C$5,IF(D341&lt;=Alíquotas!$B$6,D341*Alíquotas!$C$6,D341*Alíquotas!$C$7))</f>
        <v>0</v>
      </c>
      <c r="J341" s="21">
        <f>IF(D341-I341&lt;=Alíquotas!$G$5, 0, IF(D341-I341&lt;=Alíquotas!$G$6, D341*Alíquotas!$H$6, IF(D341-I341&lt;=Alíquotas!$G$7, D341*Alíquotas!$H$7, IF(D341-I341&lt;=Alíquotas!$G$8, D341*Alíquotas!$H$8, D341*Alíquotas!$H$9))))</f>
        <v>0</v>
      </c>
      <c r="K341" s="21">
        <f t="shared" si="41"/>
        <v>0</v>
      </c>
      <c r="L341" s="21">
        <f t="shared" si="42"/>
        <v>0</v>
      </c>
      <c r="M341" s="21">
        <f t="shared" si="44"/>
        <v>0</v>
      </c>
      <c r="N341" s="21">
        <f t="shared" si="39"/>
        <v>0</v>
      </c>
      <c r="O341" s="21">
        <f t="shared" si="45"/>
        <v>0</v>
      </c>
    </row>
    <row r="342" spans="1:15" x14ac:dyDescent="0.25">
      <c r="A342" s="19"/>
      <c r="B342" s="20"/>
      <c r="C342" s="20"/>
      <c r="D342" s="21"/>
      <c r="E342" s="31"/>
      <c r="F342" s="21">
        <f t="shared" si="40"/>
        <v>0</v>
      </c>
      <c r="G342" s="31"/>
      <c r="H342" s="21">
        <f t="shared" si="43"/>
        <v>0</v>
      </c>
      <c r="I342" s="21">
        <f>IF(D342&lt;=Alíquotas!$B$5,D342*Alíquotas!$C$5,IF(D342&lt;=Alíquotas!$B$6,D342*Alíquotas!$C$6,D342*Alíquotas!$C$7))</f>
        <v>0</v>
      </c>
      <c r="J342" s="21">
        <f>IF(D342-I342&lt;=Alíquotas!$G$5, 0, IF(D342-I342&lt;=Alíquotas!$G$6, D342*Alíquotas!$H$6, IF(D342-I342&lt;=Alíquotas!$G$7, D342*Alíquotas!$H$7, IF(D342-I342&lt;=Alíquotas!$G$8, D342*Alíquotas!$H$8, D342*Alíquotas!$H$9))))</f>
        <v>0</v>
      </c>
      <c r="K342" s="21">
        <f t="shared" si="41"/>
        <v>0</v>
      </c>
      <c r="L342" s="21">
        <f t="shared" si="42"/>
        <v>0</v>
      </c>
      <c r="M342" s="21">
        <f t="shared" si="44"/>
        <v>0</v>
      </c>
      <c r="N342" s="21">
        <f t="shared" si="39"/>
        <v>0</v>
      </c>
      <c r="O342" s="21">
        <f t="shared" si="45"/>
        <v>0</v>
      </c>
    </row>
    <row r="343" spans="1:15" x14ac:dyDescent="0.25">
      <c r="A343" s="19"/>
      <c r="B343" s="20"/>
      <c r="C343" s="20"/>
      <c r="D343" s="21"/>
      <c r="E343" s="31"/>
      <c r="F343" s="21">
        <f t="shared" si="40"/>
        <v>0</v>
      </c>
      <c r="G343" s="31"/>
      <c r="H343" s="21">
        <f t="shared" si="43"/>
        <v>0</v>
      </c>
      <c r="I343" s="21">
        <f>IF(D343&lt;=Alíquotas!$B$5,D343*Alíquotas!$C$5,IF(D343&lt;=Alíquotas!$B$6,D343*Alíquotas!$C$6,D343*Alíquotas!$C$7))</f>
        <v>0</v>
      </c>
      <c r="J343" s="21">
        <f>IF(D343-I343&lt;=Alíquotas!$G$5, 0, IF(D343-I343&lt;=Alíquotas!$G$6, D343*Alíquotas!$H$6, IF(D343-I343&lt;=Alíquotas!$G$7, D343*Alíquotas!$H$7, IF(D343-I343&lt;=Alíquotas!$G$8, D343*Alíquotas!$H$8, D343*Alíquotas!$H$9))))</f>
        <v>0</v>
      </c>
      <c r="K343" s="21">
        <f t="shared" si="41"/>
        <v>0</v>
      </c>
      <c r="L343" s="21">
        <f t="shared" si="42"/>
        <v>0</v>
      </c>
      <c r="M343" s="21">
        <f t="shared" si="44"/>
        <v>0</v>
      </c>
      <c r="N343" s="21">
        <f t="shared" ref="N343:N364" si="46">FERIAS($O343,$D343)</f>
        <v>0</v>
      </c>
      <c r="O343" s="21">
        <f t="shared" si="45"/>
        <v>0</v>
      </c>
    </row>
    <row r="344" spans="1:15" x14ac:dyDescent="0.25">
      <c r="A344" s="19"/>
      <c r="B344" s="20"/>
      <c r="C344" s="20"/>
      <c r="D344" s="21"/>
      <c r="E344" s="31"/>
      <c r="F344" s="21">
        <f t="shared" si="40"/>
        <v>0</v>
      </c>
      <c r="G344" s="31"/>
      <c r="H344" s="21">
        <f t="shared" si="43"/>
        <v>0</v>
      </c>
      <c r="I344" s="21">
        <f>IF(D344&lt;=Alíquotas!$B$5,D344*Alíquotas!$C$5,IF(D344&lt;=Alíquotas!$B$6,D344*Alíquotas!$C$6,D344*Alíquotas!$C$7))</f>
        <v>0</v>
      </c>
      <c r="J344" s="21">
        <f>IF(D344-I344&lt;=Alíquotas!$G$5, 0, IF(D344-I344&lt;=Alíquotas!$G$6, D344*Alíquotas!$H$6, IF(D344-I344&lt;=Alíquotas!$G$7, D344*Alíquotas!$H$7, IF(D344-I344&lt;=Alíquotas!$G$8, D344*Alíquotas!$H$8, D344*Alíquotas!$H$9))))</f>
        <v>0</v>
      </c>
      <c r="K344" s="21">
        <f t="shared" si="41"/>
        <v>0</v>
      </c>
      <c r="L344" s="21">
        <f t="shared" si="42"/>
        <v>0</v>
      </c>
      <c r="M344" s="21">
        <f t="shared" si="44"/>
        <v>0</v>
      </c>
      <c r="N344" s="21">
        <f t="shared" si="46"/>
        <v>0</v>
      </c>
      <c r="O344" s="21">
        <f t="shared" si="45"/>
        <v>0</v>
      </c>
    </row>
    <row r="345" spans="1:15" x14ac:dyDescent="0.25">
      <c r="A345" s="19"/>
      <c r="B345" s="20"/>
      <c r="C345" s="20"/>
      <c r="D345" s="21"/>
      <c r="E345" s="31"/>
      <c r="F345" s="21">
        <f t="shared" si="40"/>
        <v>0</v>
      </c>
      <c r="G345" s="31"/>
      <c r="H345" s="21">
        <f t="shared" si="43"/>
        <v>0</v>
      </c>
      <c r="I345" s="21">
        <f>IF(D345&lt;=Alíquotas!$B$5,D345*Alíquotas!$C$5,IF(D345&lt;=Alíquotas!$B$6,D345*Alíquotas!$C$6,D345*Alíquotas!$C$7))</f>
        <v>0</v>
      </c>
      <c r="J345" s="21">
        <f>IF(D345-I345&lt;=Alíquotas!$G$5, 0, IF(D345-I345&lt;=Alíquotas!$G$6, D345*Alíquotas!$H$6, IF(D345-I345&lt;=Alíquotas!$G$7, D345*Alíquotas!$H$7, IF(D345-I345&lt;=Alíquotas!$G$8, D345*Alíquotas!$H$8, D345*Alíquotas!$H$9))))</f>
        <v>0</v>
      </c>
      <c r="K345" s="21">
        <f t="shared" si="41"/>
        <v>0</v>
      </c>
      <c r="L345" s="21">
        <f t="shared" si="42"/>
        <v>0</v>
      </c>
      <c r="M345" s="21">
        <f t="shared" si="44"/>
        <v>0</v>
      </c>
      <c r="N345" s="21">
        <f t="shared" si="46"/>
        <v>0</v>
      </c>
      <c r="O345" s="21">
        <f t="shared" si="45"/>
        <v>0</v>
      </c>
    </row>
    <row r="346" spans="1:15" x14ac:dyDescent="0.25">
      <c r="A346" s="19"/>
      <c r="B346" s="20"/>
      <c r="C346" s="20"/>
      <c r="D346" s="21"/>
      <c r="E346" s="31"/>
      <c r="F346" s="21">
        <f t="shared" si="40"/>
        <v>0</v>
      </c>
      <c r="G346" s="31"/>
      <c r="H346" s="21">
        <f t="shared" si="43"/>
        <v>0</v>
      </c>
      <c r="I346" s="21">
        <f>IF(D346&lt;=Alíquotas!$B$5,D346*Alíquotas!$C$5,IF(D346&lt;=Alíquotas!$B$6,D346*Alíquotas!$C$6,D346*Alíquotas!$C$7))</f>
        <v>0</v>
      </c>
      <c r="J346" s="21">
        <f>IF(D346-I346&lt;=Alíquotas!$G$5, 0, IF(D346-I346&lt;=Alíquotas!$G$6, D346*Alíquotas!$H$6, IF(D346-I346&lt;=Alíquotas!$G$7, D346*Alíquotas!$H$7, IF(D346-I346&lt;=Alíquotas!$G$8, D346*Alíquotas!$H$8, D346*Alíquotas!$H$9))))</f>
        <v>0</v>
      </c>
      <c r="K346" s="21">
        <f t="shared" si="41"/>
        <v>0</v>
      </c>
      <c r="L346" s="21">
        <f t="shared" si="42"/>
        <v>0</v>
      </c>
      <c r="M346" s="21">
        <f t="shared" si="44"/>
        <v>0</v>
      </c>
      <c r="N346" s="21">
        <f t="shared" si="46"/>
        <v>0</v>
      </c>
      <c r="O346" s="21">
        <f t="shared" si="45"/>
        <v>0</v>
      </c>
    </row>
    <row r="347" spans="1:15" x14ac:dyDescent="0.25">
      <c r="A347" s="19"/>
      <c r="B347" s="20"/>
      <c r="C347" s="20"/>
      <c r="D347" s="21"/>
      <c r="E347" s="31"/>
      <c r="F347" s="21">
        <f t="shared" si="40"/>
        <v>0</v>
      </c>
      <c r="G347" s="31"/>
      <c r="H347" s="21">
        <f t="shared" si="43"/>
        <v>0</v>
      </c>
      <c r="I347" s="21">
        <f>IF(D347&lt;=Alíquotas!$B$5,D347*Alíquotas!$C$5,IF(D347&lt;=Alíquotas!$B$6,D347*Alíquotas!$C$6,D347*Alíquotas!$C$7))</f>
        <v>0</v>
      </c>
      <c r="J347" s="21">
        <f>IF(D347-I347&lt;=Alíquotas!$G$5, 0, IF(D347-I347&lt;=Alíquotas!$G$6, D347*Alíquotas!$H$6, IF(D347-I347&lt;=Alíquotas!$G$7, D347*Alíquotas!$H$7, IF(D347-I347&lt;=Alíquotas!$G$8, D347*Alíquotas!$H$8, D347*Alíquotas!$H$9))))</f>
        <v>0</v>
      </c>
      <c r="K347" s="21">
        <f t="shared" si="41"/>
        <v>0</v>
      </c>
      <c r="L347" s="21">
        <f t="shared" si="42"/>
        <v>0</v>
      </c>
      <c r="M347" s="21">
        <f t="shared" si="44"/>
        <v>0</v>
      </c>
      <c r="N347" s="21">
        <f t="shared" si="46"/>
        <v>0</v>
      </c>
      <c r="O347" s="21">
        <f t="shared" si="45"/>
        <v>0</v>
      </c>
    </row>
    <row r="348" spans="1:15" x14ac:dyDescent="0.25">
      <c r="A348" s="19"/>
      <c r="B348" s="20"/>
      <c r="C348" s="20"/>
      <c r="D348" s="21"/>
      <c r="E348" s="31"/>
      <c r="F348" s="21">
        <f t="shared" si="40"/>
        <v>0</v>
      </c>
      <c r="G348" s="31"/>
      <c r="H348" s="21">
        <f t="shared" si="43"/>
        <v>0</v>
      </c>
      <c r="I348" s="21">
        <f>IF(D348&lt;=Alíquotas!$B$5,D348*Alíquotas!$C$5,IF(D348&lt;=Alíquotas!$B$6,D348*Alíquotas!$C$6,D348*Alíquotas!$C$7))</f>
        <v>0</v>
      </c>
      <c r="J348" s="21">
        <f>IF(D348-I348&lt;=Alíquotas!$G$5, 0, IF(D348-I348&lt;=Alíquotas!$G$6, D348*Alíquotas!$H$6, IF(D348-I348&lt;=Alíquotas!$G$7, D348*Alíquotas!$H$7, IF(D348-I348&lt;=Alíquotas!$G$8, D348*Alíquotas!$H$8, D348*Alíquotas!$H$9))))</f>
        <v>0</v>
      </c>
      <c r="K348" s="21">
        <f t="shared" si="41"/>
        <v>0</v>
      </c>
      <c r="L348" s="21">
        <f t="shared" si="42"/>
        <v>0</v>
      </c>
      <c r="M348" s="21">
        <f t="shared" si="44"/>
        <v>0</v>
      </c>
      <c r="N348" s="21">
        <f t="shared" si="46"/>
        <v>0</v>
      </c>
      <c r="O348" s="21">
        <f t="shared" si="45"/>
        <v>0</v>
      </c>
    </row>
    <row r="349" spans="1:15" x14ac:dyDescent="0.25">
      <c r="A349" s="19"/>
      <c r="B349" s="20"/>
      <c r="C349" s="20"/>
      <c r="D349" s="21"/>
      <c r="E349" s="31"/>
      <c r="F349" s="21">
        <f t="shared" si="40"/>
        <v>0</v>
      </c>
      <c r="G349" s="31"/>
      <c r="H349" s="21">
        <f t="shared" si="43"/>
        <v>0</v>
      </c>
      <c r="I349" s="21">
        <f>IF(D349&lt;=Alíquotas!$B$5,D349*Alíquotas!$C$5,IF(D349&lt;=Alíquotas!$B$6,D349*Alíquotas!$C$6,D349*Alíquotas!$C$7))</f>
        <v>0</v>
      </c>
      <c r="J349" s="21">
        <f>IF(D349-I349&lt;=Alíquotas!$G$5, 0, IF(D349-I349&lt;=Alíquotas!$G$6, D349*Alíquotas!$H$6, IF(D349-I349&lt;=Alíquotas!$G$7, D349*Alíquotas!$H$7, IF(D349-I349&lt;=Alíquotas!$G$8, D349*Alíquotas!$H$8, D349*Alíquotas!$H$9))))</f>
        <v>0</v>
      </c>
      <c r="K349" s="21">
        <f t="shared" si="41"/>
        <v>0</v>
      </c>
      <c r="L349" s="21">
        <f t="shared" si="42"/>
        <v>0</v>
      </c>
      <c r="M349" s="21">
        <f t="shared" si="44"/>
        <v>0</v>
      </c>
      <c r="N349" s="21">
        <f t="shared" si="46"/>
        <v>0</v>
      </c>
      <c r="O349" s="21">
        <f t="shared" si="45"/>
        <v>0</v>
      </c>
    </row>
    <row r="350" spans="1:15" x14ac:dyDescent="0.25">
      <c r="A350" s="19"/>
      <c r="B350" s="20"/>
      <c r="C350" s="20"/>
      <c r="D350" s="21"/>
      <c r="E350" s="31"/>
      <c r="F350" s="21">
        <f t="shared" si="40"/>
        <v>0</v>
      </c>
      <c r="G350" s="31"/>
      <c r="H350" s="21">
        <f t="shared" si="43"/>
        <v>0</v>
      </c>
      <c r="I350" s="21">
        <f>IF(D350&lt;=Alíquotas!$B$5,D350*Alíquotas!$C$5,IF(D350&lt;=Alíquotas!$B$6,D350*Alíquotas!$C$6,D350*Alíquotas!$C$7))</f>
        <v>0</v>
      </c>
      <c r="J350" s="21">
        <f>IF(D350-I350&lt;=Alíquotas!$G$5, 0, IF(D350-I350&lt;=Alíquotas!$G$6, D350*Alíquotas!$H$6, IF(D350-I350&lt;=Alíquotas!$G$7, D350*Alíquotas!$H$7, IF(D350-I350&lt;=Alíquotas!$G$8, D350*Alíquotas!$H$8, D350*Alíquotas!$H$9))))</f>
        <v>0</v>
      </c>
      <c r="K350" s="21">
        <f t="shared" si="41"/>
        <v>0</v>
      </c>
      <c r="L350" s="21">
        <f t="shared" si="42"/>
        <v>0</v>
      </c>
      <c r="M350" s="21">
        <f t="shared" si="44"/>
        <v>0</v>
      </c>
      <c r="N350" s="21">
        <f t="shared" si="46"/>
        <v>0</v>
      </c>
      <c r="O350" s="21">
        <f t="shared" si="45"/>
        <v>0</v>
      </c>
    </row>
    <row r="351" spans="1:15" x14ac:dyDescent="0.25">
      <c r="A351" s="19"/>
      <c r="B351" s="20"/>
      <c r="C351" s="20"/>
      <c r="D351" s="21"/>
      <c r="E351" s="31"/>
      <c r="F351" s="21">
        <f t="shared" si="40"/>
        <v>0</v>
      </c>
      <c r="G351" s="31"/>
      <c r="H351" s="21">
        <f t="shared" si="43"/>
        <v>0</v>
      </c>
      <c r="I351" s="21">
        <f>IF(D351&lt;=Alíquotas!$B$5,D351*Alíquotas!$C$5,IF(D351&lt;=Alíquotas!$B$6,D351*Alíquotas!$C$6,D351*Alíquotas!$C$7))</f>
        <v>0</v>
      </c>
      <c r="J351" s="21">
        <f>IF(D351-I351&lt;=Alíquotas!$G$5, 0, IF(D351-I351&lt;=Alíquotas!$G$6, D351*Alíquotas!$H$6, IF(D351-I351&lt;=Alíquotas!$G$7, D351*Alíquotas!$H$7, IF(D351-I351&lt;=Alíquotas!$G$8, D351*Alíquotas!$H$8, D351*Alíquotas!$H$9))))</f>
        <v>0</v>
      </c>
      <c r="K351" s="21">
        <f t="shared" si="41"/>
        <v>0</v>
      </c>
      <c r="L351" s="21">
        <f t="shared" si="42"/>
        <v>0</v>
      </c>
      <c r="M351" s="21">
        <f t="shared" si="44"/>
        <v>0</v>
      </c>
      <c r="N351" s="21">
        <f t="shared" si="46"/>
        <v>0</v>
      </c>
      <c r="O351" s="21">
        <f t="shared" si="45"/>
        <v>0</v>
      </c>
    </row>
    <row r="352" spans="1:15" x14ac:dyDescent="0.25">
      <c r="A352" s="19"/>
      <c r="B352" s="20"/>
      <c r="C352" s="20"/>
      <c r="D352" s="21"/>
      <c r="E352" s="31"/>
      <c r="F352" s="21">
        <f t="shared" si="40"/>
        <v>0</v>
      </c>
      <c r="G352" s="31"/>
      <c r="H352" s="21">
        <f t="shared" si="43"/>
        <v>0</v>
      </c>
      <c r="I352" s="21">
        <f>IF(D352&lt;=Alíquotas!$B$5,D352*Alíquotas!$C$5,IF(D352&lt;=Alíquotas!$B$6,D352*Alíquotas!$C$6,D352*Alíquotas!$C$7))</f>
        <v>0</v>
      </c>
      <c r="J352" s="21">
        <f>IF(D352-I352&lt;=Alíquotas!$G$5, 0, IF(D352-I352&lt;=Alíquotas!$G$6, D352*Alíquotas!$H$6, IF(D352-I352&lt;=Alíquotas!$G$7, D352*Alíquotas!$H$7, IF(D352-I352&lt;=Alíquotas!$G$8, D352*Alíquotas!$H$8, D352*Alíquotas!$H$9))))</f>
        <v>0</v>
      </c>
      <c r="K352" s="21">
        <f t="shared" si="41"/>
        <v>0</v>
      </c>
      <c r="L352" s="21">
        <f t="shared" si="42"/>
        <v>0</v>
      </c>
      <c r="M352" s="21">
        <f t="shared" si="44"/>
        <v>0</v>
      </c>
      <c r="N352" s="21">
        <f t="shared" si="46"/>
        <v>0</v>
      </c>
      <c r="O352" s="21">
        <f t="shared" si="45"/>
        <v>0</v>
      </c>
    </row>
    <row r="353" spans="1:15" x14ac:dyDescent="0.25">
      <c r="A353" s="19"/>
      <c r="B353" s="20"/>
      <c r="C353" s="20"/>
      <c r="D353" s="21"/>
      <c r="E353" s="31"/>
      <c r="F353" s="21">
        <f t="shared" si="40"/>
        <v>0</v>
      </c>
      <c r="G353" s="31"/>
      <c r="H353" s="21">
        <f t="shared" si="43"/>
        <v>0</v>
      </c>
      <c r="I353" s="21">
        <f>IF(D353&lt;=Alíquotas!$B$5,D353*Alíquotas!$C$5,IF(D353&lt;=Alíquotas!$B$6,D353*Alíquotas!$C$6,D353*Alíquotas!$C$7))</f>
        <v>0</v>
      </c>
      <c r="J353" s="21">
        <f>IF(D353-I353&lt;=Alíquotas!$G$5, 0, IF(D353-I353&lt;=Alíquotas!$G$6, D353*Alíquotas!$H$6, IF(D353-I353&lt;=Alíquotas!$G$7, D353*Alíquotas!$H$7, IF(D353-I353&lt;=Alíquotas!$G$8, D353*Alíquotas!$H$8, D353*Alíquotas!$H$9))))</f>
        <v>0</v>
      </c>
      <c r="K353" s="21">
        <f t="shared" si="41"/>
        <v>0</v>
      </c>
      <c r="L353" s="21">
        <f t="shared" si="42"/>
        <v>0</v>
      </c>
      <c r="M353" s="21">
        <f t="shared" si="44"/>
        <v>0</v>
      </c>
      <c r="N353" s="21">
        <f t="shared" si="46"/>
        <v>0</v>
      </c>
      <c r="O353" s="21">
        <f t="shared" si="45"/>
        <v>0</v>
      </c>
    </row>
    <row r="354" spans="1:15" x14ac:dyDescent="0.25">
      <c r="A354" s="19"/>
      <c r="B354" s="20"/>
      <c r="C354" s="20"/>
      <c r="D354" s="21"/>
      <c r="E354" s="31"/>
      <c r="F354" s="21">
        <f t="shared" si="40"/>
        <v>0</v>
      </c>
      <c r="G354" s="31"/>
      <c r="H354" s="21">
        <f t="shared" si="43"/>
        <v>0</v>
      </c>
      <c r="I354" s="21">
        <f>IF(D354&lt;=Alíquotas!$B$5,D354*Alíquotas!$C$5,IF(D354&lt;=Alíquotas!$B$6,D354*Alíquotas!$C$6,D354*Alíquotas!$C$7))</f>
        <v>0</v>
      </c>
      <c r="J354" s="21">
        <f>IF(D354-I354&lt;=Alíquotas!$G$5, 0, IF(D354-I354&lt;=Alíquotas!$G$6, D354*Alíquotas!$H$6, IF(D354-I354&lt;=Alíquotas!$G$7, D354*Alíquotas!$H$7, IF(D354-I354&lt;=Alíquotas!$G$8, D354*Alíquotas!$H$8, D354*Alíquotas!$H$9))))</f>
        <v>0</v>
      </c>
      <c r="K354" s="21">
        <f t="shared" si="41"/>
        <v>0</v>
      </c>
      <c r="L354" s="21">
        <f t="shared" si="42"/>
        <v>0</v>
      </c>
      <c r="M354" s="21">
        <f t="shared" si="44"/>
        <v>0</v>
      </c>
      <c r="N354" s="21">
        <f t="shared" si="46"/>
        <v>0</v>
      </c>
      <c r="O354" s="21">
        <f t="shared" si="45"/>
        <v>0</v>
      </c>
    </row>
    <row r="355" spans="1:15" x14ac:dyDescent="0.25">
      <c r="A355" s="19"/>
      <c r="B355" s="20"/>
      <c r="C355" s="20"/>
      <c r="D355" s="21"/>
      <c r="E355" s="31"/>
      <c r="F355" s="21">
        <f t="shared" si="40"/>
        <v>0</v>
      </c>
      <c r="G355" s="31"/>
      <c r="H355" s="21">
        <f t="shared" si="43"/>
        <v>0</v>
      </c>
      <c r="I355" s="21">
        <f>IF(D355&lt;=Alíquotas!$B$5,D355*Alíquotas!$C$5,IF(D355&lt;=Alíquotas!$B$6,D355*Alíquotas!$C$6,D355*Alíquotas!$C$7))</f>
        <v>0</v>
      </c>
      <c r="J355" s="21">
        <f>IF(D355-I355&lt;=Alíquotas!$G$5, 0, IF(D355-I355&lt;=Alíquotas!$G$6, D355*Alíquotas!$H$6, IF(D355-I355&lt;=Alíquotas!$G$7, D355*Alíquotas!$H$7, IF(D355-I355&lt;=Alíquotas!$G$8, D355*Alíquotas!$H$8, D355*Alíquotas!$H$9))))</f>
        <v>0</v>
      </c>
      <c r="K355" s="21">
        <f t="shared" si="41"/>
        <v>0</v>
      </c>
      <c r="L355" s="21">
        <f t="shared" si="42"/>
        <v>0</v>
      </c>
      <c r="M355" s="21">
        <f t="shared" si="44"/>
        <v>0</v>
      </c>
      <c r="N355" s="21">
        <f t="shared" si="46"/>
        <v>0</v>
      </c>
      <c r="O355" s="21">
        <f t="shared" si="45"/>
        <v>0</v>
      </c>
    </row>
    <row r="356" spans="1:15" x14ac:dyDescent="0.25">
      <c r="A356" s="19"/>
      <c r="B356" s="20"/>
      <c r="C356" s="20"/>
      <c r="D356" s="21"/>
      <c r="E356" s="31"/>
      <c r="F356" s="21">
        <f t="shared" si="40"/>
        <v>0</v>
      </c>
      <c r="G356" s="31"/>
      <c r="H356" s="21">
        <f t="shared" si="43"/>
        <v>0</v>
      </c>
      <c r="I356" s="21">
        <f>IF(D356&lt;=Alíquotas!$B$5,D356*Alíquotas!$C$5,IF(D356&lt;=Alíquotas!$B$6,D356*Alíquotas!$C$6,D356*Alíquotas!$C$7))</f>
        <v>0</v>
      </c>
      <c r="J356" s="21">
        <f>IF(D356-I356&lt;=Alíquotas!$G$5, 0, IF(D356-I356&lt;=Alíquotas!$G$6, D356*Alíquotas!$H$6, IF(D356-I356&lt;=Alíquotas!$G$7, D356*Alíquotas!$H$7, IF(D356-I356&lt;=Alíquotas!$G$8, D356*Alíquotas!$H$8, D356*Alíquotas!$H$9))))</f>
        <v>0</v>
      </c>
      <c r="K356" s="21">
        <f t="shared" si="41"/>
        <v>0</v>
      </c>
      <c r="L356" s="21">
        <f t="shared" si="42"/>
        <v>0</v>
      </c>
      <c r="M356" s="21">
        <f t="shared" si="44"/>
        <v>0</v>
      </c>
      <c r="N356" s="21">
        <f t="shared" si="46"/>
        <v>0</v>
      </c>
      <c r="O356" s="21">
        <f t="shared" si="45"/>
        <v>0</v>
      </c>
    </row>
    <row r="357" spans="1:15" x14ac:dyDescent="0.25">
      <c r="A357" s="19"/>
      <c r="B357" s="20"/>
      <c r="C357" s="20"/>
      <c r="D357" s="21"/>
      <c r="E357" s="31"/>
      <c r="F357" s="21">
        <f t="shared" si="40"/>
        <v>0</v>
      </c>
      <c r="G357" s="31"/>
      <c r="H357" s="21">
        <f t="shared" si="43"/>
        <v>0</v>
      </c>
      <c r="I357" s="21">
        <f>IF(D357&lt;=Alíquotas!$B$5,D357*Alíquotas!$C$5,IF(D357&lt;=Alíquotas!$B$6,D357*Alíquotas!$C$6,D357*Alíquotas!$C$7))</f>
        <v>0</v>
      </c>
      <c r="J357" s="21">
        <f>IF(D357-I357&lt;=Alíquotas!$G$5, 0, IF(D357-I357&lt;=Alíquotas!$G$6, D357*Alíquotas!$H$6, IF(D357-I357&lt;=Alíquotas!$G$7, D357*Alíquotas!$H$7, IF(D357-I357&lt;=Alíquotas!$G$8, D357*Alíquotas!$H$8, D357*Alíquotas!$H$9))))</f>
        <v>0</v>
      </c>
      <c r="K357" s="21">
        <f t="shared" si="41"/>
        <v>0</v>
      </c>
      <c r="L357" s="21">
        <f t="shared" si="42"/>
        <v>0</v>
      </c>
      <c r="M357" s="21">
        <f t="shared" si="44"/>
        <v>0</v>
      </c>
      <c r="N357" s="21">
        <f t="shared" si="46"/>
        <v>0</v>
      </c>
      <c r="O357" s="21">
        <f t="shared" si="45"/>
        <v>0</v>
      </c>
    </row>
    <row r="358" spans="1:15" x14ac:dyDescent="0.25">
      <c r="A358" s="19"/>
      <c r="B358" s="20"/>
      <c r="C358" s="20"/>
      <c r="D358" s="21"/>
      <c r="E358" s="31"/>
      <c r="F358" s="21">
        <f t="shared" si="40"/>
        <v>0</v>
      </c>
      <c r="G358" s="31"/>
      <c r="H358" s="21">
        <f t="shared" si="43"/>
        <v>0</v>
      </c>
      <c r="I358" s="21">
        <f>IF(D358&lt;=Alíquotas!$B$5,D358*Alíquotas!$C$5,IF(D358&lt;=Alíquotas!$B$6,D358*Alíquotas!$C$6,D358*Alíquotas!$C$7))</f>
        <v>0</v>
      </c>
      <c r="J358" s="21">
        <f>IF(D358-I358&lt;=Alíquotas!$G$5, 0, IF(D358-I358&lt;=Alíquotas!$G$6, D358*Alíquotas!$H$6, IF(D358-I358&lt;=Alíquotas!$G$7, D358*Alíquotas!$H$7, IF(D358-I358&lt;=Alíquotas!$G$8, D358*Alíquotas!$H$8, D358*Alíquotas!$H$9))))</f>
        <v>0</v>
      </c>
      <c r="K358" s="21">
        <f t="shared" si="41"/>
        <v>0</v>
      </c>
      <c r="L358" s="21">
        <f t="shared" si="42"/>
        <v>0</v>
      </c>
      <c r="M358" s="21">
        <f t="shared" si="44"/>
        <v>0</v>
      </c>
      <c r="N358" s="21">
        <f t="shared" si="46"/>
        <v>0</v>
      </c>
      <c r="O358" s="21">
        <f t="shared" si="45"/>
        <v>0</v>
      </c>
    </row>
    <row r="359" spans="1:15" x14ac:dyDescent="0.25">
      <c r="A359" s="19"/>
      <c r="B359" s="20"/>
      <c r="C359" s="20"/>
      <c r="D359" s="21"/>
      <c r="E359" s="31"/>
      <c r="F359" s="21">
        <f t="shared" si="40"/>
        <v>0</v>
      </c>
      <c r="G359" s="31"/>
      <c r="H359" s="21">
        <f t="shared" si="43"/>
        <v>0</v>
      </c>
      <c r="I359" s="21">
        <f>IF(D359&lt;=Alíquotas!$B$5,D359*Alíquotas!$C$5,IF(D359&lt;=Alíquotas!$B$6,D359*Alíquotas!$C$6,D359*Alíquotas!$C$7))</f>
        <v>0</v>
      </c>
      <c r="J359" s="21">
        <f>IF(D359-I359&lt;=Alíquotas!$G$5, 0, IF(D359-I359&lt;=Alíquotas!$G$6, D359*Alíquotas!$H$6, IF(D359-I359&lt;=Alíquotas!$G$7, D359*Alíquotas!$H$7, IF(D359-I359&lt;=Alíquotas!$G$8, D359*Alíquotas!$H$8, D359*Alíquotas!$H$9))))</f>
        <v>0</v>
      </c>
      <c r="K359" s="21">
        <f t="shared" si="41"/>
        <v>0</v>
      </c>
      <c r="L359" s="21">
        <f t="shared" si="42"/>
        <v>0</v>
      </c>
      <c r="M359" s="21">
        <f t="shared" si="44"/>
        <v>0</v>
      </c>
      <c r="N359" s="21">
        <f t="shared" si="46"/>
        <v>0</v>
      </c>
      <c r="O359" s="21">
        <f t="shared" si="45"/>
        <v>0</v>
      </c>
    </row>
    <row r="360" spans="1:15" x14ac:dyDescent="0.25">
      <c r="A360" s="19"/>
      <c r="B360" s="20"/>
      <c r="C360" s="20"/>
      <c r="D360" s="21"/>
      <c r="E360" s="31"/>
      <c r="F360" s="21">
        <f t="shared" si="40"/>
        <v>0</v>
      </c>
      <c r="G360" s="31"/>
      <c r="H360" s="21">
        <f t="shared" si="43"/>
        <v>0</v>
      </c>
      <c r="I360" s="21">
        <f>IF(D360&lt;=Alíquotas!$B$5,D360*Alíquotas!$C$5,IF(D360&lt;=Alíquotas!$B$6,D360*Alíquotas!$C$6,D360*Alíquotas!$C$7))</f>
        <v>0</v>
      </c>
      <c r="J360" s="21">
        <f>IF(D360-I360&lt;=Alíquotas!$G$5, 0, IF(D360-I360&lt;=Alíquotas!$G$6, D360*Alíquotas!$H$6, IF(D360-I360&lt;=Alíquotas!$G$7, D360*Alíquotas!$H$7, IF(D360-I360&lt;=Alíquotas!$G$8, D360*Alíquotas!$H$8, D360*Alíquotas!$H$9))))</f>
        <v>0</v>
      </c>
      <c r="K360" s="21">
        <f t="shared" si="41"/>
        <v>0</v>
      </c>
      <c r="L360" s="21">
        <f t="shared" si="42"/>
        <v>0</v>
      </c>
      <c r="M360" s="21">
        <f t="shared" si="44"/>
        <v>0</v>
      </c>
      <c r="N360" s="21">
        <f t="shared" si="46"/>
        <v>0</v>
      </c>
      <c r="O360" s="21">
        <f t="shared" si="45"/>
        <v>0</v>
      </c>
    </row>
    <row r="361" spans="1:15" x14ac:dyDescent="0.25">
      <c r="A361" s="19"/>
      <c r="B361" s="20"/>
      <c r="C361" s="20"/>
      <c r="D361" s="21"/>
      <c r="E361" s="31"/>
      <c r="F361" s="21">
        <f>HORA_EXTRA(D361,E361)</f>
        <v>0</v>
      </c>
      <c r="G361" s="31"/>
      <c r="H361" s="21">
        <f t="shared" si="43"/>
        <v>0</v>
      </c>
      <c r="I361" s="21">
        <f>IF(D361&lt;=Alíquotas!$B$5,D361*Alíquotas!$C$5,IF(D361&lt;=Alíquotas!$B$6,D361*Alíquotas!$C$6,D361*Alíquotas!$C$7))</f>
        <v>0</v>
      </c>
      <c r="J361" s="21">
        <f>IF(D361-I361&lt;=Alíquotas!$G$5, 0, IF(D361-I361&lt;=Alíquotas!$G$6, D361*Alíquotas!$H$6, IF(D361-I361&lt;=Alíquotas!$G$7, D361*Alíquotas!$H$7, IF(D361-I361&lt;=Alíquotas!$G$8, D361*Alíquotas!$H$8, D361*Alíquotas!$H$9))))</f>
        <v>0</v>
      </c>
      <c r="K361" s="21">
        <f>SUM(H361+I361+J361)</f>
        <v>0</v>
      </c>
      <c r="L361" s="21">
        <f>D361-K361+F361</f>
        <v>0</v>
      </c>
      <c r="M361" s="21">
        <f t="shared" si="44"/>
        <v>0</v>
      </c>
      <c r="N361" s="21">
        <f t="shared" si="46"/>
        <v>0</v>
      </c>
      <c r="O361" s="21">
        <f t="shared" si="45"/>
        <v>0</v>
      </c>
    </row>
    <row r="362" spans="1:15" x14ac:dyDescent="0.25">
      <c r="A362" s="19"/>
      <c r="B362" s="20"/>
      <c r="C362" s="20"/>
      <c r="D362" s="21"/>
      <c r="E362" s="31"/>
      <c r="F362" s="21">
        <f>HORA_EXTRA(D362,E362)</f>
        <v>0</v>
      </c>
      <c r="G362" s="31"/>
      <c r="H362" s="21">
        <f t="shared" si="43"/>
        <v>0</v>
      </c>
      <c r="I362" s="21">
        <f>IF(D362&lt;=Alíquotas!$B$5,D362*Alíquotas!$C$5,IF(D362&lt;=Alíquotas!$B$6,D362*Alíquotas!$C$6,D362*Alíquotas!$C$7))</f>
        <v>0</v>
      </c>
      <c r="J362" s="21">
        <f>IF(D362-I362&lt;=Alíquotas!$G$5, 0, IF(D362-I362&lt;=Alíquotas!$G$6, D362*Alíquotas!$H$6, IF(D362-I362&lt;=Alíquotas!$G$7, D362*Alíquotas!$H$7, IF(D362-I362&lt;=Alíquotas!$G$8, D362*Alíquotas!$H$8, D362*Alíquotas!$H$9))))</f>
        <v>0</v>
      </c>
      <c r="K362" s="21">
        <f>SUM(H362+I362+J362)</f>
        <v>0</v>
      </c>
      <c r="L362" s="21">
        <f>D362-K362+F362</f>
        <v>0</v>
      </c>
      <c r="M362" s="21">
        <f t="shared" si="44"/>
        <v>0</v>
      </c>
      <c r="N362" s="21">
        <f t="shared" si="46"/>
        <v>0</v>
      </c>
      <c r="O362" s="21">
        <f t="shared" si="45"/>
        <v>0</v>
      </c>
    </row>
    <row r="363" spans="1:15" x14ac:dyDescent="0.25">
      <c r="A363" s="19"/>
      <c r="B363" s="20"/>
      <c r="C363" s="20"/>
      <c r="D363" s="21"/>
      <c r="E363" s="31"/>
      <c r="F363" s="21">
        <f>HORA_EXTRA(D363,E363)</f>
        <v>0</v>
      </c>
      <c r="G363" s="31"/>
      <c r="H363" s="21">
        <f t="shared" si="43"/>
        <v>0</v>
      </c>
      <c r="I363" s="21">
        <f>IF(D363&lt;=Alíquotas!$B$5,D363*Alíquotas!$C$5,IF(D363&lt;=Alíquotas!$B$6,D363*Alíquotas!$C$6,D363*Alíquotas!$C$7))</f>
        <v>0</v>
      </c>
      <c r="J363" s="21">
        <f>IF(D363-I363&lt;=Alíquotas!$G$5, 0, IF(D363-I363&lt;=Alíquotas!$G$6, D363*Alíquotas!$H$6, IF(D363-I363&lt;=Alíquotas!$G$7, D363*Alíquotas!$H$7, IF(D363-I363&lt;=Alíquotas!$G$8, D363*Alíquotas!$H$8, D363*Alíquotas!$H$9))))</f>
        <v>0</v>
      </c>
      <c r="K363" s="21">
        <f>SUM(H363+I363+J363)</f>
        <v>0</v>
      </c>
      <c r="L363" s="21">
        <f>D363-K363+F363</f>
        <v>0</v>
      </c>
      <c r="M363" s="21">
        <f t="shared" si="44"/>
        <v>0</v>
      </c>
      <c r="N363" s="21">
        <f t="shared" si="46"/>
        <v>0</v>
      </c>
      <c r="O363" s="21">
        <f t="shared" si="45"/>
        <v>0</v>
      </c>
    </row>
    <row r="364" spans="1:15" x14ac:dyDescent="0.25">
      <c r="A364" s="19"/>
      <c r="B364" s="20"/>
      <c r="C364" s="20"/>
      <c r="D364" s="21"/>
      <c r="E364" s="31"/>
      <c r="F364" s="21">
        <f>HORA_EXTRA(D364,E364)</f>
        <v>0</v>
      </c>
      <c r="G364" s="31"/>
      <c r="H364" s="21">
        <f t="shared" si="43"/>
        <v>0</v>
      </c>
      <c r="I364" s="21">
        <f>IF(D364&lt;=Alíquotas!$B$5,D364*Alíquotas!$C$5,IF(D364&lt;=Alíquotas!$B$6,D364*Alíquotas!$C$6,D364*Alíquotas!$C$7))</f>
        <v>0</v>
      </c>
      <c r="J364" s="21">
        <f>IF(D364-I364&lt;=Alíquotas!$G$5, 0, IF(D364-I364&lt;=Alíquotas!$G$6, D364*Alíquotas!$H$6, IF(D364-I364&lt;=Alíquotas!$G$7, D364*Alíquotas!$H$7, IF(D364-I364&lt;=Alíquotas!$G$8, D364*Alíquotas!$H$8, D364*Alíquotas!$H$9))))</f>
        <v>0</v>
      </c>
      <c r="K364" s="21">
        <f>SUM(H364+I364+J364)</f>
        <v>0</v>
      </c>
      <c r="L364" s="21">
        <f>D364-K364+F364</f>
        <v>0</v>
      </c>
      <c r="M364" s="21">
        <f t="shared" si="44"/>
        <v>0</v>
      </c>
      <c r="N364" s="21">
        <f t="shared" si="46"/>
        <v>0</v>
      </c>
      <c r="O364" s="21">
        <f t="shared" si="45"/>
        <v>0</v>
      </c>
    </row>
  </sheetData>
  <mergeCells count="4">
    <mergeCell ref="A1:O1"/>
    <mergeCell ref="A2:O2"/>
    <mergeCell ref="E8:F8"/>
    <mergeCell ref="G8:H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enuInicial" altText="Abrir Painel de Operações">
                <anchor moveWithCells="1">
                  <from>
                    <xdr:col>0</xdr:col>
                    <xdr:colOff>666750</xdr:colOff>
                    <xdr:row>5</xdr:row>
                    <xdr:rowOff>0</xdr:rowOff>
                  </from>
                  <to>
                    <xdr:col>2</xdr:col>
                    <xdr:colOff>342900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Instruções</vt:lpstr>
      <vt:lpstr>Alíquotas</vt:lpstr>
      <vt:lpstr>Controle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reos_r@hotmail.com</dc:creator>
  <cp:lastModifiedBy>Josué Silva</cp:lastModifiedBy>
  <dcterms:created xsi:type="dcterms:W3CDTF">2019-09-22T19:49:10Z</dcterms:created>
  <dcterms:modified xsi:type="dcterms:W3CDTF">2019-12-04T15:46:41Z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ERIAS" linkTarget="PROP_FERIAS">
    <vt:r8>0</vt:r8>
  </property>
</Properties>
</file>